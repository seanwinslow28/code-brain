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EKQXMGjkuhfK5MJ97YDXqtzgQTTwHrWhqWVXQlZgkA="/>
    </ext>
  </extLst>
</workbook>
</file>

<file path=xl/sharedStrings.xml><?xml version="1.0" encoding="utf-8"?>
<sst xmlns="http://schemas.openxmlformats.org/spreadsheetml/2006/main" count="22" uniqueCount="22">
  <si>
    <t>NY Life</t>
  </si>
  <si>
    <t>Photography</t>
  </si>
  <si>
    <t>Total</t>
  </si>
  <si>
    <t>Income</t>
  </si>
  <si>
    <t>Expenses</t>
  </si>
  <si>
    <t>Rent (25%)</t>
  </si>
  <si>
    <t>car ins</t>
  </si>
  <si>
    <t>Dental ins</t>
  </si>
  <si>
    <t>Cell phone</t>
  </si>
  <si>
    <t>subway</t>
  </si>
  <si>
    <t>tolls</t>
  </si>
  <si>
    <t>gas</t>
  </si>
  <si>
    <t>Uber</t>
  </si>
  <si>
    <t>tech equip</t>
  </si>
  <si>
    <t>office supplies</t>
  </si>
  <si>
    <t xml:space="preserve">computer </t>
  </si>
  <si>
    <t>websites</t>
  </si>
  <si>
    <t>networks</t>
  </si>
  <si>
    <t>education</t>
  </si>
  <si>
    <t>uniforms</t>
  </si>
  <si>
    <t>milage rate</t>
  </si>
  <si>
    <t>milage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</si>
</sst>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0"/>
    <numFmt numFmtId="166" formatCode="&quot;$&quot;#,##0.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2" numFmtId="0" xfId="0" applyFont="1"/>
    <xf borderId="0" fillId="0" fontId="1" numFmtId="164" xfId="0" applyFont="1" applyNumberFormat="1"/>
    <xf borderId="3" fillId="0" fontId="1" numFmtId="164" xfId="0" applyAlignment="1" applyBorder="1" applyFont="1" applyNumberFormat="1">
      <alignment horizontal="right" readingOrder="0"/>
    </xf>
    <xf borderId="4" fillId="0" fontId="1" numFmtId="164" xfId="0" applyAlignment="1" applyBorder="1" applyFont="1" applyNumberFormat="1">
      <alignment horizontal="right"/>
    </xf>
    <xf borderId="5" fillId="0" fontId="1" numFmtId="164" xfId="0" applyAlignment="1" applyBorder="1" applyFont="1" applyNumberFormat="1">
      <alignment horizontal="right"/>
    </xf>
    <xf borderId="6" fillId="0" fontId="1" numFmtId="164" xfId="0" applyAlignment="1" applyBorder="1" applyFont="1" applyNumberFormat="1">
      <alignment horizontal="right"/>
    </xf>
    <xf borderId="1" fillId="0" fontId="3" numFmtId="0" xfId="0" applyBorder="1" applyFont="1"/>
    <xf borderId="4" fillId="0" fontId="1" numFmtId="164" xfId="0" applyBorder="1" applyFont="1" applyNumberFormat="1"/>
    <xf borderId="3" fillId="0" fontId="1" numFmtId="164" xfId="0" applyAlignment="1" applyBorder="1" applyFont="1" applyNumberFormat="1">
      <alignment horizontal="right"/>
    </xf>
    <xf borderId="6" fillId="0" fontId="1" numFmtId="164" xfId="0" applyBorder="1" applyFont="1" applyNumberFormat="1"/>
    <xf borderId="6" fillId="0" fontId="1" numFmtId="164" xfId="0" applyAlignment="1" applyBorder="1" applyFont="1" applyNumberFormat="1">
      <alignment readingOrder="0"/>
    </xf>
    <xf borderId="1" fillId="0" fontId="1" numFmtId="165" xfId="0" applyBorder="1" applyFont="1" applyNumberFormat="1"/>
    <xf borderId="7" fillId="0" fontId="1" numFmtId="164" xfId="0" applyBorder="1" applyFont="1" applyNumberFormat="1"/>
    <xf borderId="2" fillId="0" fontId="1" numFmtId="164" xfId="0" applyAlignment="1" applyBorder="1" applyFont="1" applyNumberFormat="1">
      <alignment horizontal="right"/>
    </xf>
    <xf borderId="1" fillId="0" fontId="1" numFmtId="3" xfId="0" applyBorder="1" applyFont="1" applyNumberFormat="1"/>
    <xf borderId="7" fillId="0" fontId="1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8.14"/>
    <col customWidth="1" min="3" max="4" width="8.71"/>
    <col customWidth="1" min="5" max="5" width="11.29"/>
    <col customWidth="1" min="6" max="26" width="8.71"/>
  </cols>
  <sheetData>
    <row r="1" ht="14.25" customHeight="1"/>
    <row r="2" ht="14.25" customHeight="1">
      <c r="D2" s="1" t="s">
        <v>0</v>
      </c>
      <c r="E2" s="1" t="s">
        <v>1</v>
      </c>
      <c r="F2" s="2" t="s">
        <v>2</v>
      </c>
    </row>
    <row r="3" ht="14.25" customHeight="1">
      <c r="A3" s="3" t="s">
        <v>3</v>
      </c>
      <c r="B3" s="4"/>
      <c r="C3" s="4"/>
      <c r="D3" s="5">
        <v>65025.0</v>
      </c>
      <c r="E3" s="6">
        <v>500.0</v>
      </c>
      <c r="F3" s="7">
        <f>SUM(D3:E3)</f>
        <v>65525</v>
      </c>
    </row>
    <row r="4" ht="14.25" customHeight="1">
      <c r="B4" s="4"/>
      <c r="C4" s="4"/>
      <c r="D4" s="7"/>
      <c r="E4" s="8"/>
      <c r="F4" s="7"/>
    </row>
    <row r="5" ht="14.25" customHeight="1">
      <c r="A5" s="1" t="s">
        <v>4</v>
      </c>
      <c r="B5" s="9"/>
      <c r="C5" s="9"/>
      <c r="D5" s="9"/>
      <c r="E5" s="9"/>
      <c r="F5" s="9"/>
    </row>
    <row r="6" ht="14.25" customHeight="1">
      <c r="A6" s="3" t="s">
        <v>5</v>
      </c>
      <c r="B6" s="4">
        <f>1959*12</f>
        <v>23508</v>
      </c>
      <c r="C6" s="4">
        <f>+B6*0.25</f>
        <v>5877</v>
      </c>
      <c r="D6" s="10">
        <f>+C6/7*3</f>
        <v>2518.714286</v>
      </c>
      <c r="E6" s="10">
        <f>+C6/7*0.5</f>
        <v>419.7857143</v>
      </c>
      <c r="F6" s="11">
        <f t="shared" ref="F6:F23" si="1">SUM(D6:E6)</f>
        <v>2938.5</v>
      </c>
    </row>
    <row r="7" ht="14.25" customHeight="1">
      <c r="A7" s="3" t="s">
        <v>6</v>
      </c>
      <c r="B7" s="4"/>
      <c r="C7" s="4"/>
      <c r="D7" s="12">
        <v>200.0</v>
      </c>
      <c r="E7" s="12">
        <v>1500.0</v>
      </c>
      <c r="F7" s="7">
        <f t="shared" si="1"/>
        <v>1700</v>
      </c>
    </row>
    <row r="8" ht="14.25" customHeight="1">
      <c r="A8" s="3" t="s">
        <v>7</v>
      </c>
      <c r="B8" s="4"/>
      <c r="C8" s="4"/>
      <c r="D8" s="12">
        <v>285.0</v>
      </c>
      <c r="E8" s="12"/>
      <c r="F8" s="7">
        <f t="shared" si="1"/>
        <v>285</v>
      </c>
    </row>
    <row r="9" ht="14.25" customHeight="1">
      <c r="A9" s="3" t="s">
        <v>8</v>
      </c>
      <c r="B9" s="4"/>
      <c r="C9" s="4"/>
      <c r="D9" s="12">
        <v>1600.0</v>
      </c>
      <c r="E9" s="12">
        <v>200.0</v>
      </c>
      <c r="F9" s="7">
        <f t="shared" si="1"/>
        <v>1800</v>
      </c>
    </row>
    <row r="10" ht="14.25" customHeight="1">
      <c r="A10" s="3" t="s">
        <v>9</v>
      </c>
      <c r="B10" s="4"/>
      <c r="C10" s="4"/>
      <c r="D10" s="12">
        <v>396.0</v>
      </c>
      <c r="E10" s="12"/>
      <c r="F10" s="7">
        <f t="shared" si="1"/>
        <v>396</v>
      </c>
    </row>
    <row r="11" ht="14.25" customHeight="1">
      <c r="A11" s="3" t="s">
        <v>10</v>
      </c>
      <c r="B11" s="4"/>
      <c r="C11" s="4"/>
      <c r="D11" s="12">
        <v>25.0</v>
      </c>
      <c r="E11" s="12">
        <v>75.0</v>
      </c>
      <c r="F11" s="7">
        <f t="shared" si="1"/>
        <v>100</v>
      </c>
    </row>
    <row r="12" ht="14.25" customHeight="1">
      <c r="A12" s="3" t="s">
        <v>11</v>
      </c>
      <c r="B12" s="4"/>
      <c r="C12" s="4"/>
      <c r="D12" s="12">
        <v>25.0</v>
      </c>
      <c r="E12" s="12">
        <v>134.0</v>
      </c>
      <c r="F12" s="7">
        <f t="shared" si="1"/>
        <v>159</v>
      </c>
    </row>
    <row r="13" ht="14.25" customHeight="1">
      <c r="A13" s="3" t="s">
        <v>12</v>
      </c>
      <c r="B13" s="4"/>
      <c r="C13" s="4"/>
      <c r="D13" s="13">
        <v>450.0</v>
      </c>
      <c r="E13" s="12">
        <v>114.0</v>
      </c>
      <c r="F13" s="7">
        <f t="shared" si="1"/>
        <v>564</v>
      </c>
    </row>
    <row r="14" ht="14.25" customHeight="1">
      <c r="A14" s="3" t="s">
        <v>13</v>
      </c>
      <c r="B14" s="4"/>
      <c r="C14" s="4"/>
      <c r="D14" s="13">
        <v>250.0</v>
      </c>
      <c r="E14" s="12"/>
      <c r="F14" s="7">
        <f t="shared" si="1"/>
        <v>250</v>
      </c>
    </row>
    <row r="15" ht="14.25" customHeight="1">
      <c r="A15" s="3" t="s">
        <v>14</v>
      </c>
      <c r="B15" s="4"/>
      <c r="C15" s="4"/>
      <c r="D15" s="13">
        <v>94.0</v>
      </c>
      <c r="E15" s="12"/>
      <c r="F15" s="7">
        <f t="shared" si="1"/>
        <v>94</v>
      </c>
    </row>
    <row r="16" ht="14.25" customHeight="1">
      <c r="A16" s="3" t="s">
        <v>15</v>
      </c>
      <c r="B16" s="4"/>
      <c r="C16" s="4"/>
      <c r="D16" s="13">
        <v>80.0</v>
      </c>
      <c r="E16" s="12"/>
      <c r="F16" s="7">
        <f t="shared" si="1"/>
        <v>80</v>
      </c>
    </row>
    <row r="17" ht="14.25" customHeight="1">
      <c r="A17" s="3" t="s">
        <v>16</v>
      </c>
      <c r="B17" s="4"/>
      <c r="C17" s="4"/>
      <c r="D17" s="12">
        <v>713.0</v>
      </c>
      <c r="E17" s="12"/>
      <c r="F17" s="7">
        <f t="shared" si="1"/>
        <v>713</v>
      </c>
    </row>
    <row r="18" ht="14.25" customHeight="1">
      <c r="A18" s="3" t="s">
        <v>17</v>
      </c>
      <c r="B18" s="4"/>
      <c r="C18" s="4"/>
      <c r="D18" s="12">
        <v>350.0</v>
      </c>
      <c r="E18" s="12"/>
      <c r="F18" s="7">
        <f t="shared" si="1"/>
        <v>350</v>
      </c>
    </row>
    <row r="19" ht="14.25" customHeight="1">
      <c r="A19" s="3" t="s">
        <v>18</v>
      </c>
      <c r="B19" s="4"/>
      <c r="C19" s="4"/>
      <c r="D19" s="13">
        <v>1525.0</v>
      </c>
      <c r="E19" s="12"/>
      <c r="F19" s="7">
        <f t="shared" si="1"/>
        <v>1525</v>
      </c>
    </row>
    <row r="20" ht="14.25" customHeight="1">
      <c r="A20" s="3" t="s">
        <v>19</v>
      </c>
      <c r="B20" s="4"/>
      <c r="C20" s="4"/>
      <c r="D20" s="12"/>
      <c r="E20" s="13">
        <v>200.0</v>
      </c>
      <c r="F20" s="7">
        <f t="shared" si="1"/>
        <v>200</v>
      </c>
    </row>
    <row r="21" ht="14.25" customHeight="1">
      <c r="A21" s="3" t="s">
        <v>20</v>
      </c>
      <c r="B21" s="14">
        <v>0.585</v>
      </c>
      <c r="C21" s="14">
        <v>0.625</v>
      </c>
      <c r="D21" s="15"/>
      <c r="E21" s="15"/>
      <c r="F21" s="16">
        <f t="shared" si="1"/>
        <v>0</v>
      </c>
    </row>
    <row r="22" ht="14.25" customHeight="1">
      <c r="A22" s="3" t="s">
        <v>21</v>
      </c>
      <c r="B22" s="17">
        <v>35.0</v>
      </c>
      <c r="C22" s="17">
        <v>65.0</v>
      </c>
      <c r="D22" s="15"/>
      <c r="E22" s="18">
        <f>(+B22*B21)+(C22*C21)</f>
        <v>61.1</v>
      </c>
      <c r="F22" s="16">
        <f t="shared" si="1"/>
        <v>61.1</v>
      </c>
    </row>
    <row r="23" ht="14.25" customHeight="1">
      <c r="D23" s="12">
        <f t="shared" ref="D23:E23" si="2">SUM(D6:D22)</f>
        <v>8511.714286</v>
      </c>
      <c r="E23" s="12">
        <f t="shared" si="2"/>
        <v>2703.885714</v>
      </c>
      <c r="F23" s="7">
        <f t="shared" si="1"/>
        <v>11215.6</v>
      </c>
    </row>
    <row r="24" ht="14.25" customHeight="1">
      <c r="F24" s="4"/>
    </row>
    <row r="25" ht="14.25" customHeight="1">
      <c r="F25" s="4"/>
    </row>
    <row r="26" ht="14.25" customHeight="1">
      <c r="B26" s="4"/>
      <c r="C26" s="4"/>
      <c r="D26" s="4"/>
      <c r="E26" s="4"/>
      <c r="F26" s="4"/>
    </row>
    <row r="27" ht="14.25" customHeight="1">
      <c r="B27" s="4"/>
      <c r="C27" s="4"/>
      <c r="D27" s="4"/>
      <c r="E27" s="4"/>
      <c r="F27" s="4"/>
    </row>
    <row r="28" ht="14.25" customHeight="1">
      <c r="B28" s="4"/>
      <c r="C28" s="4"/>
      <c r="D28" s="4"/>
      <c r="E28" s="4"/>
      <c r="F28" s="4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5:F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2023-03-23T14:59:28Z</dcterms:created>
  <dc:creator>scsadmin</dc:creator>
</cp:coreProperties>
</file>