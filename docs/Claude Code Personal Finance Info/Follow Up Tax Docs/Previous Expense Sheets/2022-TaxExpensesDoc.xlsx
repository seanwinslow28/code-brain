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Q:\W\Winslow, Sean\"/>
    </mc:Choice>
  </mc:AlternateContent>
  <xr:revisionPtr revIDLastSave="0" documentId="13_ncr:1_{8A67DD36-61C8-44E1-A2F6-02A24A7857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4" i="1"/>
  <c r="E25" i="1" s="1"/>
  <c r="F23" i="1"/>
  <c r="F21" i="1"/>
  <c r="B6" i="1"/>
  <c r="C6" i="1" s="1"/>
  <c r="F15" i="1"/>
  <c r="F24" i="1" l="1"/>
  <c r="F18" i="1"/>
  <c r="F17" i="1"/>
  <c r="F16" i="1"/>
  <c r="F14" i="1"/>
  <c r="F13" i="1"/>
  <c r="F36" i="1"/>
  <c r="F35" i="1"/>
  <c r="F12" i="1"/>
  <c r="F11" i="1"/>
  <c r="F38" i="1"/>
  <c r="F34" i="1"/>
  <c r="F3" i="1"/>
  <c r="D19" i="1"/>
  <c r="D25" i="1" s="1"/>
  <c r="D6" i="1"/>
  <c r="F25" i="1" l="1"/>
  <c r="D7" i="1"/>
  <c r="D27" i="1"/>
  <c r="F19" i="1"/>
  <c r="E6" i="1"/>
  <c r="E7" i="1" l="1"/>
  <c r="E27" i="1"/>
  <c r="E28" i="1"/>
  <c r="F6" i="1"/>
  <c r="E29" i="1" l="1"/>
</calcChain>
</file>

<file path=xl/sharedStrings.xml><?xml version="1.0" encoding="utf-8"?>
<sst xmlns="http://schemas.openxmlformats.org/spreadsheetml/2006/main" count="35" uniqueCount="33">
  <si>
    <t>NY Life</t>
  </si>
  <si>
    <t>Photography</t>
  </si>
  <si>
    <t>Total</t>
  </si>
  <si>
    <t>Income</t>
  </si>
  <si>
    <t>subway</t>
  </si>
  <si>
    <t>tolls</t>
  </si>
  <si>
    <t>tech equip</t>
  </si>
  <si>
    <t>education</t>
  </si>
  <si>
    <t>websites</t>
  </si>
  <si>
    <t>uniforms</t>
  </si>
  <si>
    <t xml:space="preserve">computer </t>
  </si>
  <si>
    <t>networks</t>
  </si>
  <si>
    <t>gas</t>
  </si>
  <si>
    <t>Uber</t>
  </si>
  <si>
    <t>car ins</t>
  </si>
  <si>
    <t>Dental ins</t>
  </si>
  <si>
    <t>Cell phone</t>
  </si>
  <si>
    <t>Expenses</t>
  </si>
  <si>
    <t>Rent (25%)</t>
  </si>
  <si>
    <t>office supplies</t>
  </si>
  <si>
    <t>mileage rate</t>
  </si>
  <si>
    <t>mileage</t>
  </si>
  <si>
    <t>Using Standard Mileage</t>
  </si>
  <si>
    <t>Self-employed health insurance</t>
  </si>
  <si>
    <t>I just want to confirm how you are calculating the “Rent”</t>
  </si>
  <si>
    <t>*</t>
  </si>
  <si>
    <t>You are saying 25% of the apartment is your office space?</t>
  </si>
  <si>
    <t>You are allocating 3 days out of 7 to the NYLife job?</t>
  </si>
  <si>
    <t>You are allocating ½ day to the photography?</t>
  </si>
  <si>
    <t>Other Expenses:</t>
  </si>
  <si>
    <t>Total Schedule C</t>
  </si>
  <si>
    <t>Disallowed</t>
  </si>
  <si>
    <t>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</si>
</sst>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72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5" fontId="0" fillId="0" borderId="1" xfId="0" applyNumberFormat="1" applyBorder="1"/>
    <xf numFmtId="3" fontId="0" fillId="0" borderId="1" xfId="0" applyNumberFormat="1" applyBorder="1"/>
    <xf numFmtId="44" fontId="0" fillId="0" borderId="5" xfId="1" applyFont="1" applyBorder="1"/>
    <xf numFmtId="44" fontId="0" fillId="0" borderId="4" xfId="1" applyFont="1" applyBorder="1" applyAlignment="1">
      <alignment horizontal="right"/>
    </xf>
    <xf numFmtId="44" fontId="0" fillId="0" borderId="0" xfId="1" applyFont="1"/>
    <xf numFmtId="44" fontId="0" fillId="0" borderId="6" xfId="1" applyFont="1" applyBorder="1"/>
    <xf numFmtId="44" fontId="0" fillId="0" borderId="2" xfId="1" applyFont="1" applyBorder="1" applyAlignment="1">
      <alignment horizontal="right"/>
    </xf>
    <xf numFmtId="44" fontId="0" fillId="0" borderId="7" xfId="1" applyFont="1" applyBorder="1"/>
    <xf numFmtId="44" fontId="0" fillId="0" borderId="3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44" fontId="0" fillId="2" borderId="0" xfId="1" applyFont="1" applyFill="1"/>
    <xf numFmtId="44" fontId="0" fillId="0" borderId="0" xfId="0" applyNumberFormat="1"/>
    <xf numFmtId="172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8"/>
  <sheetViews>
    <sheetView tabSelected="1" workbookViewId="0">
      <selection activeCell="L28" sqref="L28"/>
    </sheetView>
  </sheetViews>
  <sheetFormatPr defaultRowHeight="15" x14ac:dyDescent="0.25"/>
  <cols>
    <col min="1" max="1" width="13.28515625" customWidth="1"/>
    <col min="2" max="2" width="8.140625" customWidth="1"/>
    <col min="4" max="4" width="11.5703125" bestFit="1" customWidth="1"/>
    <col min="5" max="5" width="11.28515625" customWidth="1"/>
    <col min="6" max="6" width="11.5703125" bestFit="1" customWidth="1"/>
    <col min="10" max="10" width="10.5703125" bestFit="1" customWidth="1"/>
  </cols>
  <sheetData>
    <row r="2" spans="1:10" x14ac:dyDescent="0.25">
      <c r="D2" s="2" t="s">
        <v>0</v>
      </c>
      <c r="E2" s="2" t="s">
        <v>1</v>
      </c>
      <c r="F2" s="3" t="s">
        <v>2</v>
      </c>
    </row>
    <row r="3" spans="1:10" x14ac:dyDescent="0.25">
      <c r="A3" t="s">
        <v>3</v>
      </c>
      <c r="B3" s="1"/>
      <c r="C3" s="1"/>
      <c r="D3" s="9">
        <v>44267</v>
      </c>
      <c r="E3" s="15">
        <v>500</v>
      </c>
      <c r="F3" s="12">
        <f>SUM(D3:E3)</f>
        <v>44767</v>
      </c>
    </row>
    <row r="4" spans="1:10" x14ac:dyDescent="0.25">
      <c r="B4" s="1"/>
      <c r="C4" s="1"/>
      <c r="D4" s="4"/>
      <c r="E4" s="5"/>
      <c r="F4" s="4"/>
    </row>
    <row r="5" spans="1:10" x14ac:dyDescent="0.25">
      <c r="A5" s="16" t="s">
        <v>17</v>
      </c>
      <c r="B5" s="16"/>
      <c r="C5" s="16"/>
      <c r="D5" s="16"/>
      <c r="E5" s="16"/>
      <c r="F5" s="16"/>
    </row>
    <row r="6" spans="1:10" x14ac:dyDescent="0.25">
      <c r="A6" t="s">
        <v>18</v>
      </c>
      <c r="B6" s="1">
        <f>1992*9</f>
        <v>17928</v>
      </c>
      <c r="C6" s="1">
        <f>+B6*0.25</f>
        <v>4482</v>
      </c>
      <c r="D6" s="8">
        <f>+C6/7*3</f>
        <v>1920.8571428571431</v>
      </c>
      <c r="E6" s="8">
        <f>+C6/7*0.5</f>
        <v>320.14285714285717</v>
      </c>
      <c r="F6" s="9">
        <f t="shared" ref="F6:F24" si="0">SUM(D6:E6)</f>
        <v>2241.0000000000005</v>
      </c>
      <c r="H6" s="17" t="s">
        <v>24</v>
      </c>
    </row>
    <row r="7" spans="1:10" x14ac:dyDescent="0.25">
      <c r="D7" s="20">
        <f>+D6/B6</f>
        <v>0.10714285714285715</v>
      </c>
      <c r="E7" s="20">
        <f>+E6/B6</f>
        <v>1.785714285714286E-2</v>
      </c>
      <c r="F7" s="10"/>
      <c r="H7" s="17"/>
    </row>
    <row r="8" spans="1:10" x14ac:dyDescent="0.25">
      <c r="D8" s="10"/>
      <c r="E8" s="10"/>
      <c r="F8" s="10"/>
      <c r="I8" s="17" t="s">
        <v>25</v>
      </c>
      <c r="J8" s="17" t="s">
        <v>26</v>
      </c>
    </row>
    <row r="9" spans="1:10" x14ac:dyDescent="0.25">
      <c r="D9" s="10"/>
      <c r="E9" s="10"/>
      <c r="F9" s="10"/>
      <c r="I9" s="17" t="s">
        <v>25</v>
      </c>
      <c r="J9" s="17" t="s">
        <v>27</v>
      </c>
    </row>
    <row r="10" spans="1:10" x14ac:dyDescent="0.25">
      <c r="A10" t="s">
        <v>29</v>
      </c>
      <c r="I10" s="17" t="s">
        <v>25</v>
      </c>
      <c r="J10" s="17" t="s">
        <v>28</v>
      </c>
    </row>
    <row r="11" spans="1:10" x14ac:dyDescent="0.25">
      <c r="A11" t="s">
        <v>16</v>
      </c>
      <c r="B11" s="1"/>
      <c r="C11" s="1"/>
      <c r="D11" s="11">
        <v>1600</v>
      </c>
      <c r="E11" s="11">
        <v>200</v>
      </c>
      <c r="F11" s="12">
        <f t="shared" si="0"/>
        <v>1800</v>
      </c>
      <c r="H11" s="17"/>
    </row>
    <row r="12" spans="1:10" x14ac:dyDescent="0.25">
      <c r="A12" t="s">
        <v>4</v>
      </c>
      <c r="B12" s="1"/>
      <c r="C12" s="1"/>
      <c r="D12" s="11">
        <v>396</v>
      </c>
      <c r="E12" s="11"/>
      <c r="F12" s="12">
        <f t="shared" si="0"/>
        <v>396</v>
      </c>
    </row>
    <row r="13" spans="1:10" x14ac:dyDescent="0.25">
      <c r="A13" t="s">
        <v>13</v>
      </c>
      <c r="B13" s="1"/>
      <c r="C13" s="1"/>
      <c r="D13" s="11">
        <v>420</v>
      </c>
      <c r="E13" s="11">
        <v>114</v>
      </c>
      <c r="F13" s="12">
        <f t="shared" si="0"/>
        <v>534</v>
      </c>
    </row>
    <row r="14" spans="1:10" x14ac:dyDescent="0.25">
      <c r="A14" t="s">
        <v>6</v>
      </c>
      <c r="B14" s="1"/>
      <c r="C14" s="1"/>
      <c r="D14" s="11">
        <v>220</v>
      </c>
      <c r="E14" s="11"/>
      <c r="F14" s="12">
        <f t="shared" si="0"/>
        <v>220</v>
      </c>
    </row>
    <row r="15" spans="1:10" x14ac:dyDescent="0.25">
      <c r="A15" t="s">
        <v>19</v>
      </c>
      <c r="B15" s="1"/>
      <c r="C15" s="1"/>
      <c r="D15" s="11">
        <v>98</v>
      </c>
      <c r="E15" s="11"/>
      <c r="F15" s="12">
        <f t="shared" si="0"/>
        <v>98</v>
      </c>
    </row>
    <row r="16" spans="1:10" x14ac:dyDescent="0.25">
      <c r="A16" t="s">
        <v>10</v>
      </c>
      <c r="B16" s="1"/>
      <c r="C16" s="1"/>
      <c r="D16" s="11">
        <v>57</v>
      </c>
      <c r="E16" s="11"/>
      <c r="F16" s="12">
        <f t="shared" si="0"/>
        <v>57</v>
      </c>
    </row>
    <row r="17" spans="1:10" x14ac:dyDescent="0.25">
      <c r="A17" t="s">
        <v>8</v>
      </c>
      <c r="B17" s="1"/>
      <c r="C17" s="1"/>
      <c r="D17" s="11">
        <v>713</v>
      </c>
      <c r="E17" s="11"/>
      <c r="F17" s="12">
        <f t="shared" si="0"/>
        <v>713</v>
      </c>
    </row>
    <row r="18" spans="1:10" x14ac:dyDescent="0.25">
      <c r="A18" t="s">
        <v>11</v>
      </c>
      <c r="B18" s="1"/>
      <c r="C18" s="1"/>
      <c r="D18" s="11">
        <v>350</v>
      </c>
      <c r="E18" s="11"/>
      <c r="F18" s="12">
        <f t="shared" si="0"/>
        <v>350</v>
      </c>
    </row>
    <row r="19" spans="1:10" x14ac:dyDescent="0.25">
      <c r="A19" t="s">
        <v>7</v>
      </c>
      <c r="B19" s="1"/>
      <c r="C19" s="1"/>
      <c r="D19" s="11">
        <f>1596+579</f>
        <v>2175</v>
      </c>
      <c r="E19" s="11"/>
      <c r="F19" s="12">
        <f t="shared" si="0"/>
        <v>2175</v>
      </c>
    </row>
    <row r="20" spans="1:10" x14ac:dyDescent="0.25">
      <c r="A20" t="s">
        <v>32</v>
      </c>
      <c r="B20" s="1"/>
      <c r="C20" s="1"/>
      <c r="D20" s="11">
        <v>350</v>
      </c>
      <c r="E20" s="11"/>
      <c r="F20" s="12">
        <f t="shared" si="0"/>
        <v>350</v>
      </c>
    </row>
    <row r="21" spans="1:10" x14ac:dyDescent="0.25">
      <c r="A21" t="s">
        <v>9</v>
      </c>
      <c r="B21" s="1"/>
      <c r="C21" s="1"/>
      <c r="D21" s="11"/>
      <c r="E21" s="11">
        <v>210</v>
      </c>
      <c r="F21" s="12">
        <f t="shared" ref="F21:F23" si="1">SUM(D21:E21)</f>
        <v>210</v>
      </c>
      <c r="J21" s="19"/>
    </row>
    <row r="22" spans="1:10" x14ac:dyDescent="0.25">
      <c r="B22" s="1"/>
      <c r="C22" s="1"/>
      <c r="D22" s="11"/>
      <c r="E22" s="11"/>
      <c r="F22" s="12"/>
      <c r="J22" s="19"/>
    </row>
    <row r="23" spans="1:10" x14ac:dyDescent="0.25">
      <c r="A23" t="s">
        <v>20</v>
      </c>
      <c r="B23" s="6">
        <v>0.58499999999999996</v>
      </c>
      <c r="C23" s="6">
        <v>0.625</v>
      </c>
      <c r="D23" s="13"/>
      <c r="E23" s="13"/>
      <c r="F23" s="14">
        <f t="shared" si="1"/>
        <v>0</v>
      </c>
    </row>
    <row r="24" spans="1:10" x14ac:dyDescent="0.25">
      <c r="A24" t="s">
        <v>21</v>
      </c>
      <c r="B24" s="7">
        <v>35</v>
      </c>
      <c r="C24" s="7">
        <v>65</v>
      </c>
      <c r="D24" s="13"/>
      <c r="E24" s="13">
        <f>(+B24*B23)+(C24*C23)</f>
        <v>61.099999999999994</v>
      </c>
      <c r="F24" s="14">
        <f t="shared" si="0"/>
        <v>61.099999999999994</v>
      </c>
    </row>
    <row r="25" spans="1:10" x14ac:dyDescent="0.25">
      <c r="D25" s="11">
        <f>SUM(D10:D24)</f>
        <v>6379</v>
      </c>
      <c r="E25" s="11">
        <f t="shared" ref="E25:F25" si="2">SUM(E10:E24)</f>
        <v>585.1</v>
      </c>
      <c r="F25" s="11">
        <f t="shared" si="2"/>
        <v>6964.1</v>
      </c>
    </row>
    <row r="26" spans="1:10" x14ac:dyDescent="0.25">
      <c r="D26" s="10"/>
      <c r="E26" s="10"/>
      <c r="F26" s="10"/>
    </row>
    <row r="27" spans="1:10" x14ac:dyDescent="0.25">
      <c r="A27" t="s">
        <v>30</v>
      </c>
      <c r="D27" s="18">
        <f>+D3-D6-D25</f>
        <v>35967.142857142855</v>
      </c>
      <c r="E27" s="10">
        <f>+E3-E6-E25</f>
        <v>-405.24285714285719</v>
      </c>
      <c r="F27" s="10"/>
    </row>
    <row r="28" spans="1:10" x14ac:dyDescent="0.25">
      <c r="B28" s="1" t="s">
        <v>31</v>
      </c>
      <c r="C28" s="1"/>
      <c r="D28" s="10"/>
      <c r="E28" s="10">
        <f>+E6</f>
        <v>320.14285714285717</v>
      </c>
      <c r="F28" s="10"/>
    </row>
    <row r="29" spans="1:10" x14ac:dyDescent="0.25">
      <c r="B29" s="1"/>
      <c r="C29" s="1"/>
      <c r="D29" s="10"/>
      <c r="E29" s="18">
        <f>+E27+E28</f>
        <v>-85.100000000000023</v>
      </c>
      <c r="F29" s="10"/>
    </row>
    <row r="30" spans="1:10" x14ac:dyDescent="0.25">
      <c r="B30" s="1"/>
      <c r="C30" s="1"/>
      <c r="D30" s="10"/>
      <c r="E30" s="10"/>
      <c r="F30" s="10"/>
    </row>
    <row r="31" spans="1:10" x14ac:dyDescent="0.25">
      <c r="B31" s="1"/>
      <c r="C31" s="1"/>
      <c r="D31" s="10"/>
      <c r="E31" s="10"/>
      <c r="F31" s="10"/>
    </row>
    <row r="32" spans="1:10" x14ac:dyDescent="0.25">
      <c r="B32" s="1"/>
      <c r="C32" s="1"/>
      <c r="D32" s="10"/>
      <c r="E32" s="10"/>
      <c r="F32" s="10"/>
    </row>
    <row r="33" spans="1:6" x14ac:dyDescent="0.25">
      <c r="A33" t="s">
        <v>22</v>
      </c>
      <c r="B33" s="1"/>
      <c r="C33" s="1"/>
      <c r="D33" s="10"/>
      <c r="E33" s="10"/>
      <c r="F33" s="10"/>
    </row>
    <row r="34" spans="1:6" x14ac:dyDescent="0.25">
      <c r="A34" t="s">
        <v>14</v>
      </c>
      <c r="B34" s="1"/>
      <c r="C34" s="1"/>
      <c r="D34" s="11">
        <v>200</v>
      </c>
      <c r="E34" s="11">
        <v>1500</v>
      </c>
      <c r="F34" s="12">
        <f>SUM(D34:E34)</f>
        <v>1700</v>
      </c>
    </row>
    <row r="35" spans="1:6" x14ac:dyDescent="0.25">
      <c r="A35" t="s">
        <v>5</v>
      </c>
      <c r="B35" s="1"/>
      <c r="C35" s="1"/>
      <c r="D35" s="11">
        <v>25</v>
      </c>
      <c r="E35" s="11">
        <v>75</v>
      </c>
      <c r="F35" s="12">
        <f>SUM(D35:E35)</f>
        <v>100</v>
      </c>
    </row>
    <row r="36" spans="1:6" x14ac:dyDescent="0.25">
      <c r="A36" t="s">
        <v>12</v>
      </c>
      <c r="B36" s="1"/>
      <c r="C36" s="1"/>
      <c r="D36" s="11">
        <v>25</v>
      </c>
      <c r="E36" s="11">
        <v>134</v>
      </c>
      <c r="F36" s="12">
        <f>SUM(D36:E36)</f>
        <v>159</v>
      </c>
    </row>
    <row r="37" spans="1:6" x14ac:dyDescent="0.25">
      <c r="A37" t="s">
        <v>23</v>
      </c>
      <c r="D37" s="10"/>
      <c r="E37" s="10"/>
      <c r="F37" s="10"/>
    </row>
    <row r="38" spans="1:6" x14ac:dyDescent="0.25">
      <c r="A38" t="s">
        <v>15</v>
      </c>
      <c r="B38" s="1"/>
      <c r="C38" s="1"/>
      <c r="D38" s="11">
        <v>285</v>
      </c>
      <c r="E38" s="11"/>
      <c r="F38" s="12">
        <f>SUM(D38:E38)</f>
        <v>285</v>
      </c>
    </row>
  </sheetData>
  <mergeCells count="1">
    <mergeCell ref="A5:F5"/>
  </mergeCells>
  <pageMargins left="0.7" right="0.7" top="0.75" bottom="0.7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scsadmin</dc:creator>
  <cp:lastModifiedBy>Maryann Hanley</cp:lastModifiedBy>
  <cp:lastPrinted>2023-04-05T16:16:27Z</cp:lastPrinted>
  <dcterms:created xsi:type="dcterms:W3CDTF">2023-03-23T14:59:28Z</dcterms:created>
  <dcterms:modified xsi:type="dcterms:W3CDTF">2023-04-05T16:18:05Z</dcterms:modified>
</cp:coreProperties>
</file>