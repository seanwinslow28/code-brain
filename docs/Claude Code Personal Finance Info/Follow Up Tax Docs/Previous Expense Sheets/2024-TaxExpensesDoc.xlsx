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swinslow/Downloads/"/>
    </mc:Choice>
  </mc:AlternateContent>
  <xr:revisionPtr revIDLastSave="0" documentId="8_{01248168-05BD-B24F-A5B1-C39AE07EB2F9}" xr6:coauthVersionLast="47" xr6:coauthVersionMax="47" xr10:uidLastSave="{00000000-0000-0000-0000-000000000000}"/>
  <bookViews>
    <workbookView xWindow="0" yWindow="500" windowWidth="20960" windowHeight="145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VEKQXMGjkuhfK5MJ97YDXqtzgQTTwHrWhqWVXQlZgkA="/>
    </ext>
  </extLst>
</workbook>
</file>

<file path=xl/calcChain.xml><?xml version="1.0" encoding="utf-8"?>
<calcChain xmlns="http://schemas.openxmlformats.org/spreadsheetml/2006/main">
  <c r="B6" i="1" l="1"/>
  <c r="C6" i="1" s="1"/>
  <c r="E22" i="1"/>
  <c r="F22" i="1" s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3" i="1"/>
  <c r="E6" i="1" l="1"/>
  <c r="E23" i="1" s="1"/>
  <c r="D6" i="1"/>
  <c r="F6" i="1" l="1"/>
  <c r="D23" i="1"/>
  <c r="F23" i="1" s="1"/>
</calcChain>
</file>

<file path=xl/sharedStrings.xml><?xml version="1.0" encoding="utf-8"?>
<sst xmlns="http://schemas.openxmlformats.org/spreadsheetml/2006/main" count="22" uniqueCount="22">
  <si>
    <t>NY Life</t>
  </si>
  <si>
    <t>Photography</t>
  </si>
  <si>
    <t>Total</t>
  </si>
  <si>
    <t>Income</t>
  </si>
  <si>
    <t>Expenses</t>
  </si>
  <si>
    <t>Rent (25%)</t>
  </si>
  <si>
    <t>car ins</t>
  </si>
  <si>
    <t>Dental ins</t>
  </si>
  <si>
    <t>Cell phone</t>
  </si>
  <si>
    <t>subway</t>
  </si>
  <si>
    <t>tolls</t>
  </si>
  <si>
    <t>gas</t>
  </si>
  <si>
    <t>Uber</t>
  </si>
  <si>
    <t>tech equip</t>
  </si>
  <si>
    <t>office supplies</t>
  </si>
  <si>
    <t xml:space="preserve">computer </t>
  </si>
  <si>
    <t>websites</t>
  </si>
  <si>
    <t>networks</t>
  </si>
  <si>
    <t>education</t>
  </si>
  <si>
    <t>uniforms</t>
  </si>
  <si>
    <t>milage rate</t>
  </si>
  <si>
    <t>milage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</si>
</sst>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#,##0.000"/>
    <numFmt numFmtId="166" formatCode="&quot;$&quot;#,##0.00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/>
    <xf numFmtId="164" fontId="1" fillId="0" borderId="0" xfId="0" applyNumberFormat="1" applyFont="1"/>
    <xf numFmtId="164" fontId="1" fillId="0" borderId="3" xfId="0" applyNumberFormat="1" applyFont="1" applyBorder="1" applyAlignment="1">
      <alignment horizontal="right"/>
    </xf>
    <xf numFmtId="164" fontId="1" fillId="0" borderId="4" xfId="0" applyNumberFormat="1" applyFont="1" applyBorder="1" applyAlignment="1">
      <alignment horizontal="right"/>
    </xf>
    <xf numFmtId="164" fontId="1" fillId="0" borderId="5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4" fontId="1" fillId="0" borderId="4" xfId="0" applyNumberFormat="1" applyFont="1" applyBorder="1"/>
    <xf numFmtId="164" fontId="1" fillId="0" borderId="6" xfId="0" applyNumberFormat="1" applyFont="1" applyBorder="1"/>
    <xf numFmtId="165" fontId="1" fillId="0" borderId="1" xfId="0" applyNumberFormat="1" applyFont="1" applyBorder="1"/>
    <xf numFmtId="164" fontId="1" fillId="0" borderId="7" xfId="0" applyNumberFormat="1" applyFont="1" applyBorder="1"/>
    <xf numFmtId="164" fontId="1" fillId="0" borderId="2" xfId="0" applyNumberFormat="1" applyFont="1" applyBorder="1" applyAlignment="1">
      <alignment horizontal="right"/>
    </xf>
    <xf numFmtId="3" fontId="1" fillId="0" borderId="1" xfId="0" applyNumberFormat="1" applyFont="1" applyBorder="1"/>
    <xf numFmtId="166" fontId="1" fillId="0" borderId="7" xfId="0" applyNumberFormat="1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E20" sqref="E20"/>
    </sheetView>
  </sheetViews>
  <sheetFormatPr baseColWidth="10" defaultColWidth="14.5" defaultRowHeight="15" customHeight="1" x14ac:dyDescent="0.2"/>
  <cols>
    <col min="1" max="1" width="13.33203125" customWidth="1"/>
    <col min="2" max="2" width="8.1640625" customWidth="1"/>
    <col min="3" max="4" width="8.6640625" customWidth="1"/>
    <col min="5" max="5" width="11.33203125" customWidth="1"/>
    <col min="6" max="26" width="8.6640625" customWidth="1"/>
  </cols>
  <sheetData>
    <row r="1" spans="1:6" ht="14.25" customHeight="1" x14ac:dyDescent="0.2"/>
    <row r="2" spans="1:6" ht="14.25" customHeight="1" x14ac:dyDescent="0.2">
      <c r="D2" s="1" t="s">
        <v>0</v>
      </c>
      <c r="E2" s="1" t="s">
        <v>1</v>
      </c>
      <c r="F2" s="2" t="s">
        <v>2</v>
      </c>
    </row>
    <row r="3" spans="1:6" ht="14.25" customHeight="1" x14ac:dyDescent="0.2">
      <c r="A3" s="3" t="s">
        <v>3</v>
      </c>
      <c r="B3" s="4"/>
      <c r="C3" s="4"/>
      <c r="D3" s="5">
        <v>68600</v>
      </c>
      <c r="E3" s="6">
        <v>500</v>
      </c>
      <c r="F3" s="7">
        <f>SUM(D3:E3)</f>
        <v>69100</v>
      </c>
    </row>
    <row r="4" spans="1:6" ht="14.25" customHeight="1" x14ac:dyDescent="0.2">
      <c r="B4" s="4"/>
      <c r="C4" s="4"/>
      <c r="D4" s="7"/>
      <c r="E4" s="8"/>
      <c r="F4" s="7"/>
    </row>
    <row r="5" spans="1:6" ht="14.25" customHeight="1" x14ac:dyDescent="0.2">
      <c r="A5" s="16" t="s">
        <v>4</v>
      </c>
      <c r="B5" s="17"/>
      <c r="C5" s="17"/>
      <c r="D5" s="17"/>
      <c r="E5" s="17"/>
      <c r="F5" s="17"/>
    </row>
    <row r="6" spans="1:6" ht="14.25" customHeight="1" x14ac:dyDescent="0.2">
      <c r="A6" s="3" t="s">
        <v>5</v>
      </c>
      <c r="B6" s="4">
        <f>2017*12</f>
        <v>24204</v>
      </c>
      <c r="C6" s="4">
        <f>+B6*0.25</f>
        <v>6051</v>
      </c>
      <c r="D6" s="9">
        <f>+C6/7*3</f>
        <v>2593.2857142857142</v>
      </c>
      <c r="E6" s="9">
        <f>+C6/7*0.5</f>
        <v>432.21428571428572</v>
      </c>
      <c r="F6" s="5">
        <f t="shared" ref="F6:F23" si="0">SUM(D6:E6)</f>
        <v>3025.5</v>
      </c>
    </row>
    <row r="7" spans="1:6" ht="14.25" customHeight="1" x14ac:dyDescent="0.2">
      <c r="A7" s="3" t="s">
        <v>6</v>
      </c>
      <c r="B7" s="4"/>
      <c r="C7" s="4"/>
      <c r="D7" s="10">
        <v>200</v>
      </c>
      <c r="E7" s="10">
        <v>1500</v>
      </c>
      <c r="F7" s="7">
        <f t="shared" si="0"/>
        <v>1700</v>
      </c>
    </row>
    <row r="8" spans="1:6" ht="14.25" customHeight="1" x14ac:dyDescent="0.2">
      <c r="A8" s="3" t="s">
        <v>7</v>
      </c>
      <c r="B8" s="4"/>
      <c r="C8" s="4"/>
      <c r="D8" s="10">
        <v>285</v>
      </c>
      <c r="E8" s="10"/>
      <c r="F8" s="7">
        <f t="shared" si="0"/>
        <v>285</v>
      </c>
    </row>
    <row r="9" spans="1:6" ht="14.25" customHeight="1" x14ac:dyDescent="0.2">
      <c r="A9" s="3" t="s">
        <v>8</v>
      </c>
      <c r="B9" s="4"/>
      <c r="C9" s="4"/>
      <c r="D9" s="10">
        <v>1600</v>
      </c>
      <c r="E9" s="10">
        <v>200</v>
      </c>
      <c r="F9" s="7">
        <f t="shared" si="0"/>
        <v>1800</v>
      </c>
    </row>
    <row r="10" spans="1:6" ht="14.25" customHeight="1" x14ac:dyDescent="0.2">
      <c r="A10" s="3" t="s">
        <v>9</v>
      </c>
      <c r="B10" s="4"/>
      <c r="C10" s="4"/>
      <c r="D10" s="10">
        <v>852.6</v>
      </c>
      <c r="E10" s="10"/>
      <c r="F10" s="7">
        <f t="shared" si="0"/>
        <v>852.6</v>
      </c>
    </row>
    <row r="11" spans="1:6" ht="14.25" customHeight="1" x14ac:dyDescent="0.2">
      <c r="A11" s="3" t="s">
        <v>10</v>
      </c>
      <c r="B11" s="4"/>
      <c r="C11" s="4"/>
      <c r="D11" s="10">
        <v>25</v>
      </c>
      <c r="E11" s="10">
        <v>75</v>
      </c>
      <c r="F11" s="7">
        <f t="shared" si="0"/>
        <v>100</v>
      </c>
    </row>
    <row r="12" spans="1:6" ht="14.25" customHeight="1" x14ac:dyDescent="0.2">
      <c r="A12" s="3" t="s">
        <v>11</v>
      </c>
      <c r="B12" s="4"/>
      <c r="C12" s="4"/>
      <c r="D12" s="10">
        <v>25</v>
      </c>
      <c r="E12" s="10">
        <v>134</v>
      </c>
      <c r="F12" s="7">
        <f t="shared" si="0"/>
        <v>159</v>
      </c>
    </row>
    <row r="13" spans="1:6" ht="14.25" customHeight="1" x14ac:dyDescent="0.2">
      <c r="A13" s="3" t="s">
        <v>12</v>
      </c>
      <c r="B13" s="4"/>
      <c r="C13" s="4"/>
      <c r="D13" s="10">
        <v>450</v>
      </c>
      <c r="E13" s="10">
        <v>100</v>
      </c>
      <c r="F13" s="7">
        <f t="shared" si="0"/>
        <v>550</v>
      </c>
    </row>
    <row r="14" spans="1:6" ht="14.25" customHeight="1" x14ac:dyDescent="0.2">
      <c r="A14" s="3" t="s">
        <v>13</v>
      </c>
      <c r="B14" s="4"/>
      <c r="C14" s="4"/>
      <c r="D14" s="10">
        <v>600</v>
      </c>
      <c r="E14" s="10"/>
      <c r="F14" s="7">
        <f t="shared" si="0"/>
        <v>600</v>
      </c>
    </row>
    <row r="15" spans="1:6" ht="14.25" customHeight="1" x14ac:dyDescent="0.2">
      <c r="A15" s="3" t="s">
        <v>14</v>
      </c>
      <c r="B15" s="4"/>
      <c r="C15" s="4"/>
      <c r="D15" s="10">
        <v>50</v>
      </c>
      <c r="E15" s="10"/>
      <c r="F15" s="7">
        <f t="shared" si="0"/>
        <v>50</v>
      </c>
    </row>
    <row r="16" spans="1:6" ht="14.25" customHeight="1" x14ac:dyDescent="0.2">
      <c r="A16" s="3" t="s">
        <v>15</v>
      </c>
      <c r="B16" s="4"/>
      <c r="C16" s="4"/>
      <c r="D16" s="10">
        <v>80</v>
      </c>
      <c r="E16" s="10"/>
      <c r="F16" s="7">
        <f t="shared" si="0"/>
        <v>80</v>
      </c>
    </row>
    <row r="17" spans="1:6" ht="14.25" customHeight="1" x14ac:dyDescent="0.2">
      <c r="A17" s="3" t="s">
        <v>16</v>
      </c>
      <c r="B17" s="4"/>
      <c r="C17" s="4"/>
      <c r="D17" s="10">
        <v>713</v>
      </c>
      <c r="E17" s="10"/>
      <c r="F17" s="7">
        <f t="shared" si="0"/>
        <v>713</v>
      </c>
    </row>
    <row r="18" spans="1:6" ht="14.25" customHeight="1" x14ac:dyDescent="0.2">
      <c r="A18" s="3" t="s">
        <v>17</v>
      </c>
      <c r="B18" s="4"/>
      <c r="C18" s="4"/>
      <c r="D18" s="10">
        <v>500</v>
      </c>
      <c r="E18" s="10"/>
      <c r="F18" s="7">
        <f t="shared" si="0"/>
        <v>500</v>
      </c>
    </row>
    <row r="19" spans="1:6" ht="14.25" customHeight="1" x14ac:dyDescent="0.2">
      <c r="A19" s="3" t="s">
        <v>18</v>
      </c>
      <c r="B19" s="4"/>
      <c r="C19" s="4"/>
      <c r="D19" s="10">
        <v>1975</v>
      </c>
      <c r="E19" s="10"/>
      <c r="F19" s="7">
        <f t="shared" si="0"/>
        <v>1975</v>
      </c>
    </row>
    <row r="20" spans="1:6" ht="14.25" customHeight="1" x14ac:dyDescent="0.2">
      <c r="A20" s="3" t="s">
        <v>19</v>
      </c>
      <c r="B20" s="4"/>
      <c r="C20" s="4"/>
      <c r="D20" s="10"/>
      <c r="E20" s="10">
        <v>150</v>
      </c>
      <c r="F20" s="7">
        <f t="shared" si="0"/>
        <v>150</v>
      </c>
    </row>
    <row r="21" spans="1:6" ht="14.25" customHeight="1" x14ac:dyDescent="0.2">
      <c r="A21" s="3" t="s">
        <v>20</v>
      </c>
      <c r="B21" s="11">
        <v>0.58499999999999996</v>
      </c>
      <c r="C21" s="11">
        <v>0.625</v>
      </c>
      <c r="D21" s="12"/>
      <c r="E21" s="12"/>
      <c r="F21" s="13">
        <f t="shared" si="0"/>
        <v>0</v>
      </c>
    </row>
    <row r="22" spans="1:6" ht="14.25" customHeight="1" x14ac:dyDescent="0.2">
      <c r="A22" s="3" t="s">
        <v>21</v>
      </c>
      <c r="B22" s="14">
        <v>35</v>
      </c>
      <c r="C22" s="14">
        <v>65</v>
      </c>
      <c r="D22" s="12"/>
      <c r="E22" s="15">
        <f>(+B22*B21)+(C22*C21)</f>
        <v>61.099999999999994</v>
      </c>
      <c r="F22" s="13">
        <f t="shared" si="0"/>
        <v>61.099999999999994</v>
      </c>
    </row>
    <row r="23" spans="1:6" ht="14.25" customHeight="1" x14ac:dyDescent="0.2">
      <c r="D23" s="10">
        <f t="shared" ref="D23:E23" si="1">SUM(D6:D22)</f>
        <v>9948.8857142857141</v>
      </c>
      <c r="E23" s="10">
        <f t="shared" si="1"/>
        <v>2652.3142857142857</v>
      </c>
      <c r="F23" s="7">
        <f t="shared" si="0"/>
        <v>12601.2</v>
      </c>
    </row>
    <row r="24" spans="1:6" ht="14.25" customHeight="1" x14ac:dyDescent="0.2">
      <c r="F24" s="4"/>
    </row>
    <row r="25" spans="1:6" ht="14.25" customHeight="1" x14ac:dyDescent="0.2">
      <c r="F25" s="4"/>
    </row>
    <row r="26" spans="1:6" ht="14.25" customHeight="1" x14ac:dyDescent="0.2">
      <c r="B26" s="4"/>
      <c r="C26" s="4"/>
      <c r="D26" s="4"/>
      <c r="E26" s="4"/>
      <c r="F26" s="4"/>
    </row>
    <row r="27" spans="1:6" ht="14.25" customHeight="1" x14ac:dyDescent="0.2">
      <c r="B27" s="4"/>
      <c r="C27" s="4"/>
      <c r="D27" s="4"/>
      <c r="E27" s="4"/>
      <c r="F27" s="4"/>
    </row>
    <row r="28" spans="1:6" ht="14.25" customHeight="1" x14ac:dyDescent="0.2">
      <c r="B28" s="4"/>
      <c r="C28" s="4"/>
      <c r="D28" s="4"/>
      <c r="E28" s="4"/>
      <c r="F28" s="4"/>
    </row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5:F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scsadmin</dc:creator>
  <cp:lastModifiedBy>Prod8 NYLSTUDIO51</cp:lastModifiedBy>
  <dcterms:created xsi:type="dcterms:W3CDTF">2023-03-23T14:59:28Z</dcterms:created>
  <dcterms:modified xsi:type="dcterms:W3CDTF">2025-02-05T17:36:48Z</dcterms:modified>
</cp:coreProperties>
</file>