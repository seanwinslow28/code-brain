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seanwinslow/Desktop/TAX Season 2025/2025 Tax Season Docs/"/>
    </mc:Choice>
  </mc:AlternateContent>
  <xr:revisionPtr revIDLastSave="0" documentId="13_ncr:1_{EF7CD603-FDE2-984F-A9FE-43CCB8B74AE1}" xr6:coauthVersionLast="47" xr6:coauthVersionMax="47" xr10:uidLastSave="{00000000-0000-0000-0000-000000000000}"/>
  <bookViews>
    <workbookView xWindow="0" yWindow="600" windowWidth="33740" windowHeight="18380" tabRatio="500" xr2:uid="{00000000-000D-0000-FFFF-FFFF00000000}"/>
  </bookViews>
  <sheets>
    <sheet name="2025 Summary" sheetId="1" r:id="rId1"/>
    <sheet name="2025 Full Expens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8" i="2" l="1"/>
  <c r="D117" i="2"/>
  <c r="D116" i="2"/>
  <c r="F22" i="1"/>
  <c r="F21" i="1"/>
  <c r="F20" i="1"/>
  <c r="F19" i="1"/>
  <c r="F18" i="1"/>
  <c r="F17" i="1"/>
  <c r="F16" i="1"/>
  <c r="F15" i="1"/>
  <c r="F14" i="1"/>
  <c r="F13" i="1"/>
  <c r="B12" i="1"/>
  <c r="C12" i="1" s="1"/>
  <c r="E9" i="1"/>
  <c r="D9" i="1"/>
  <c r="F8" i="1"/>
  <c r="F7" i="1"/>
  <c r="F9" i="1" s="1"/>
  <c r="E12" i="1" l="1"/>
  <c r="E24" i="1" s="1"/>
  <c r="E26" i="1" s="1"/>
  <c r="D12" i="1"/>
  <c r="F12" i="1" l="1"/>
  <c r="F24" i="1" s="1"/>
  <c r="F26" i="1" s="1"/>
  <c r="D24" i="1"/>
  <c r="D26" i="1" s="1"/>
</calcChain>
</file>

<file path=xl/sharedStrings.xml><?xml version="1.0" encoding="utf-8"?>
<sst xmlns="http://schemas.openxmlformats.org/spreadsheetml/2006/main" count="524" uniqueCount="205">
  <si>
    <t>2025 Tax Expense Summary</t>
  </si>
  <si>
    <t>Freelance / 1099</t>
  </si>
  <si>
    <t>The Block / W-2</t>
  </si>
  <si>
    <t>Total</t>
  </si>
  <si>
    <t>Jan 1 - Nov 9</t>
  </si>
  <si>
    <t>Nov 10 - Dec 31</t>
  </si>
  <si>
    <t>INCOME</t>
  </si>
  <si>
    <t>NY Life (1099-NEC)</t>
  </si>
  <si>
    <t>The Block (W-2)</t>
  </si>
  <si>
    <t>Total Income</t>
  </si>
  <si>
    <t>EXPENSES</t>
  </si>
  <si>
    <t>Rent (25%)</t>
  </si>
  <si>
    <t>Car Insurance</t>
  </si>
  <si>
    <t>Dental Insurance</t>
  </si>
  <si>
    <t>Cell Phone</t>
  </si>
  <si>
    <t>Subway</t>
  </si>
  <si>
    <t>Uber</t>
  </si>
  <si>
    <t>Software &amp; Subscriptions</t>
  </si>
  <si>
    <t>Equipment</t>
  </si>
  <si>
    <t>Education &amp; Prof. Dev.</t>
  </si>
  <si>
    <t>Health &amp; Wellness</t>
  </si>
  <si>
    <t>Business Meals</t>
  </si>
  <si>
    <t>Total Expenses</t>
  </si>
  <si>
    <t>Net Income (Income - Expenses)</t>
  </si>
  <si>
    <t>Notes:</t>
  </si>
  <si>
    <t>• Freelance period: Jan 1 - Nov 9, 2025 (1099 contractor at NY Life)</t>
  </si>
  <si>
    <t>• W-2 period: Nov 10 - Dec 31, 2025 (Full-time at The Block)</t>
  </si>
  <si>
    <t>• Rent: 25% home office deduction applied; split ~10mo freelance / ~2mo W-2</t>
  </si>
  <si>
    <t>• MacBook Pro ($2,892.66): Includes $1,700 stipend from The Block</t>
  </si>
  <si>
    <t>• Car Ins, Dental, Cell Phone: Full-year amounts placed in Freelance column — adjust allocation as needed</t>
  </si>
  <si>
    <t>• Software subscriptions spanning both periods are split by charge date relative to Nov 10 cutoff</t>
  </si>
  <si>
    <t>• See 'Full Expenses' sheet for complete itemized list with individual charges</t>
  </si>
  <si>
    <t>Date</t>
  </si>
  <si>
    <t>Vendor/Company</t>
  </si>
  <si>
    <t>Monthly Price</t>
  </si>
  <si>
    <t>Amount</t>
  </si>
  <si>
    <t>Category</t>
  </si>
  <si>
    <t>Description</t>
  </si>
  <si>
    <t>Period</t>
  </si>
  <si>
    <t>Adobe Suite</t>
  </si>
  <si>
    <t>Software</t>
  </si>
  <si>
    <t>Creative Cloud Monthly (1/12)</t>
  </si>
  <si>
    <t>Freelance</t>
  </si>
  <si>
    <t>—</t>
  </si>
  <si>
    <t>Insurance</t>
  </si>
  <si>
    <t>Annual Car Insurance</t>
  </si>
  <si>
    <t>Utilities</t>
  </si>
  <si>
    <t>Annual Cell Phone Service</t>
  </si>
  <si>
    <t>Annual Dental Insurance</t>
  </si>
  <si>
    <t>Rent</t>
  </si>
  <si>
    <t>Monthly Rent (1/12)</t>
  </si>
  <si>
    <t>Subway (MetroCard)</t>
  </si>
  <si>
    <t>Transportation</t>
  </si>
  <si>
    <t>Annual MetroCard Expenses</t>
  </si>
  <si>
    <t>Annual Rideshare Expenses</t>
  </si>
  <si>
    <t>Business Meals (NYL)</t>
  </si>
  <si>
    <t>Purchased Lunch While Freelancing at NYL (Jan 2 - Nov 7)</t>
  </si>
  <si>
    <t>1MD.org</t>
  </si>
  <si>
    <t>Bi-Annual Vitamin &amp; Gut Health (1/2)</t>
  </si>
  <si>
    <t>Creative Cloud Monthly (2/12)</t>
  </si>
  <si>
    <t>Monthly Rent (2/12)</t>
  </si>
  <si>
    <t>Creative Cloud Monthly (3/12)</t>
  </si>
  <si>
    <t>Monthly Rent (3/12)</t>
  </si>
  <si>
    <t>Seed Probiotics</t>
  </si>
  <si>
    <t>Subscription Purchase (1/5)</t>
  </si>
  <si>
    <t>Creative Cloud Monthly (4/12)</t>
  </si>
  <si>
    <t>Monthly Rent (4/12)</t>
  </si>
  <si>
    <t>Microsoft 365</t>
  </si>
  <si>
    <t>Personal Subscription (Annual)</t>
  </si>
  <si>
    <t>Kling.ai</t>
  </si>
  <si>
    <t>Annual Subscription</t>
  </si>
  <si>
    <t>ChatGPT (OpenAI)</t>
  </si>
  <si>
    <t>Plus Subscription (1/4)</t>
  </si>
  <si>
    <t>Creative Cloud Monthly (5/12)</t>
  </si>
  <si>
    <t>Monthly Rent (5/12)</t>
  </si>
  <si>
    <t>ElevenLabs</t>
  </si>
  <si>
    <t>Creator Plan Annual Subscription</t>
  </si>
  <si>
    <t>Subscription Purchase (2/5)</t>
  </si>
  <si>
    <t>Anthropic (Claude Max)</t>
  </si>
  <si>
    <t>Max Plan - 20x (1/8)</t>
  </si>
  <si>
    <t>Plus Subscription (2/4)</t>
  </si>
  <si>
    <t>HelloPM LLP</t>
  </si>
  <si>
    <t>Education</t>
  </si>
  <si>
    <t>Product Management Bootcamp</t>
  </si>
  <si>
    <t>Google One AI Ultra</t>
  </si>
  <si>
    <t>Monthly Subscription (1/8)</t>
  </si>
  <si>
    <t>Midjourney</t>
  </si>
  <si>
    <t>Standard Plan (1/4)</t>
  </si>
  <si>
    <t>Creative Cloud Monthly (6/12)</t>
  </si>
  <si>
    <t>Monthly Rent (6/12)</t>
  </si>
  <si>
    <t>Figma</t>
  </si>
  <si>
    <t>Perplexity Pro</t>
  </si>
  <si>
    <t>Pro Subscription (1/7)</t>
  </si>
  <si>
    <t>Max Plan - 20x (2/8)</t>
  </si>
  <si>
    <t>Plus Subscription (3/4)</t>
  </si>
  <si>
    <t>Monthly Subscription (2/8)</t>
  </si>
  <si>
    <t>Standard Plan (2/4)</t>
  </si>
  <si>
    <t>Creative Cloud Monthly (7/12)</t>
  </si>
  <si>
    <t>Monthly Rent (7/12)</t>
  </si>
  <si>
    <t>Gamma</t>
  </si>
  <si>
    <t>Plus Plan Subscription</t>
  </si>
  <si>
    <t>Bi-Annual Vitamin &amp; Gut Health (2/2)</t>
  </si>
  <si>
    <t>Pro Subscription (2/7)</t>
  </si>
  <si>
    <t>Plus Plan Subscription Update</t>
  </si>
  <si>
    <t>Max Plan - 20x (3/8)</t>
  </si>
  <si>
    <t>Plus Subscription (4/4)</t>
  </si>
  <si>
    <t>Monthly Subscription (3/8)</t>
  </si>
  <si>
    <t>Standard Plan (3/4)</t>
  </si>
  <si>
    <t>Subscription Purchase (3/5)</t>
  </si>
  <si>
    <t>Creative Cloud Monthly (8/12)</t>
  </si>
  <si>
    <t>Monthly Rent (8/12)</t>
  </si>
  <si>
    <t>Pro Subscription (1/5)</t>
  </si>
  <si>
    <t>Max Plan - 20x (4/8)</t>
  </si>
  <si>
    <t>Dell</t>
  </si>
  <si>
    <t>Alienware Aurora Desktop &amp; 27" 4K Monitor</t>
  </si>
  <si>
    <t>Meshy</t>
  </si>
  <si>
    <t>Pro Plan Annual Subscription</t>
  </si>
  <si>
    <t>Pro Subscription (3/7)</t>
  </si>
  <si>
    <t>Apple iCloud+</t>
  </si>
  <si>
    <t>200 GB Monthly Storage</t>
  </si>
  <si>
    <t>Monthly Subscription (4/8)</t>
  </si>
  <si>
    <t>Standard Plan (4/4)</t>
  </si>
  <si>
    <t>Creative Cloud Monthly (9/12)</t>
  </si>
  <si>
    <t>Monthly Rent (9/12)</t>
  </si>
  <si>
    <t>Pro Subscription (2/5)</t>
  </si>
  <si>
    <t>Max Plan - 20x (5/8)</t>
  </si>
  <si>
    <t>Hailuo AI</t>
  </si>
  <si>
    <t>Quarterly Pro Subscription (1/2)</t>
  </si>
  <si>
    <t>Pro Subscription (4/7)</t>
  </si>
  <si>
    <t>Monthly Subscription (5/8)</t>
  </si>
  <si>
    <t>Pro Plan (1/4)</t>
  </si>
  <si>
    <t>Creative Cloud Monthly (10/12)</t>
  </si>
  <si>
    <t>Monthly Rent (10/12)</t>
  </si>
  <si>
    <t>Lottiefiles</t>
  </si>
  <si>
    <t>Web Animation Annual Subscription</t>
  </si>
  <si>
    <t>Subscription Purchase (4/5)</t>
  </si>
  <si>
    <t>Pro Subscription (3/5)</t>
  </si>
  <si>
    <t>Max Plan - 20x (6/8)</t>
  </si>
  <si>
    <t>Nate's AI News</t>
  </si>
  <si>
    <t>AI Newsletter (1/3)</t>
  </si>
  <si>
    <t>Pro Subscription (5/7)</t>
  </si>
  <si>
    <t>MagicPath</t>
  </si>
  <si>
    <t>Pro Plan (1/3)</t>
  </si>
  <si>
    <t>Monthly Subscription (6/8)</t>
  </si>
  <si>
    <t>Pro Plan (2/4)</t>
  </si>
  <si>
    <t>Supabase</t>
  </si>
  <si>
    <t>Monthly Subscription (1/3)</t>
  </si>
  <si>
    <t>Creative Cloud Monthly (11/12)</t>
  </si>
  <si>
    <t>Monthly Rent (11/12)</t>
  </si>
  <si>
    <t>Suno</t>
  </si>
  <si>
    <t>Pro Subscription (1/2)</t>
  </si>
  <si>
    <t>Parchment</t>
  </si>
  <si>
    <t>Official Academic Transcript</t>
  </si>
  <si>
    <t>Pro Plan (3/4)</t>
  </si>
  <si>
    <t>Apple Store</t>
  </si>
  <si>
    <t>14" MacBook Pro ($1,700 stipend from The Block)</t>
  </si>
  <si>
    <t>Pro Subscription (4/5)</t>
  </si>
  <si>
    <t>WEAVY</t>
  </si>
  <si>
    <t>Professional Plan Subscription</t>
  </si>
  <si>
    <t>SkillShare</t>
  </si>
  <si>
    <t>Yearly Subscription</t>
  </si>
  <si>
    <t>W-2 (The Block)</t>
  </si>
  <si>
    <t>Max Plan - 20x (7/8)</t>
  </si>
  <si>
    <t>AI Newsletter (2/3)</t>
  </si>
  <si>
    <t>Pro Subscription (6/7)</t>
  </si>
  <si>
    <t>Pro Plan (2/3)</t>
  </si>
  <si>
    <t>Runware</t>
  </si>
  <si>
    <t>AI Credit Charge</t>
  </si>
  <si>
    <t>Amazon</t>
  </si>
  <si>
    <t>ASUS ProArt 4K Monitor &amp; Desk Lamp</t>
  </si>
  <si>
    <t>Monthly Subscription (7/8)</t>
  </si>
  <si>
    <t>Monthly Subscription (2/3)</t>
  </si>
  <si>
    <t>Creative Cloud Monthly (12/12)</t>
  </si>
  <si>
    <t>Monthly Rent (12/12)</t>
  </si>
  <si>
    <t>Pro Subscription (2/2)</t>
  </si>
  <si>
    <t>Pro Plan (4/4)</t>
  </si>
  <si>
    <t>Subscription Purchase (5/5)</t>
  </si>
  <si>
    <t>Pro Subscription (5/5)</t>
  </si>
  <si>
    <t>Quarterly Pro Subscription (2/2)</t>
  </si>
  <si>
    <t>Max Plan - 20x (8/8)</t>
  </si>
  <si>
    <t>AI Newsletter (3/3)</t>
  </si>
  <si>
    <t>Pro Subscription (7/7)</t>
  </si>
  <si>
    <t>Pro Plan (3/3)</t>
  </si>
  <si>
    <t>Runway AI</t>
  </si>
  <si>
    <t>Pro Subscription</t>
  </si>
  <si>
    <t>Topaz Labs</t>
  </si>
  <si>
    <t>Studio Annual Subscription</t>
  </si>
  <si>
    <t>Google Cloud</t>
  </si>
  <si>
    <t>Cloud Platform &amp; API Usage</t>
  </si>
  <si>
    <t>fal.ai</t>
  </si>
  <si>
    <t>Features &amp; Labels Credit Charge</t>
  </si>
  <si>
    <t>CapCut (ByteDance)</t>
  </si>
  <si>
    <t>Subscription via PayPal</t>
  </si>
  <si>
    <t>Monthly Subscription (8/8)</t>
  </si>
  <si>
    <t>Monthly Subscription (3/3)</t>
  </si>
  <si>
    <t>xAI</t>
  </si>
  <si>
    <t>SuperGrok Subscription</t>
  </si>
  <si>
    <t>TOTALS:</t>
  </si>
  <si>
    <t>Freelance Total:</t>
  </si>
  <si>
    <t>W-2 Total:</t>
  </si>
  <si>
    <t>Grand Total:</t>
  </si>
  <si>
    <t>Legend:</t>
  </si>
  <si>
    <t xml:space="preserve">  </t>
  </si>
  <si>
    <t>Freelance / 1099 (Jan 1 - Nov 9, 2025)</t>
  </si>
  <si>
    <t>W-2 / The Block (Nov 10 - Dec 31,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</si>
</sst>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m/dd/yyyy"/>
  </numFmts>
  <fonts count="10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b/>
      <sz val="10"/>
      <color rgb="FFFFFFFF"/>
      <name val="Arial"/>
      <family val="2"/>
    </font>
    <font>
      <i/>
      <sz val="9"/>
      <color rgb="FF666666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color rgb="FF666666"/>
      <name val="Arial"/>
      <family val="2"/>
    </font>
    <font>
      <sz val="9"/>
      <color rgb="FF555555"/>
      <name val="Arial"/>
      <family val="2"/>
    </font>
    <font>
      <b/>
      <sz val="11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85929E"/>
        <bgColor rgb="FF808080"/>
      </patternFill>
    </fill>
    <fill>
      <patternFill patternType="solid">
        <fgColor rgb="FFE8F8F5"/>
        <bgColor rgb="FFD5F5E3"/>
      </patternFill>
    </fill>
    <fill>
      <patternFill patternType="solid">
        <fgColor rgb="FFFADBD8"/>
        <bgColor rgb="FFF9E79F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9E79F"/>
        <bgColor rgb="FFFADBD8"/>
      </patternFill>
    </fill>
    <fill>
      <patternFill patternType="solid">
        <fgColor rgb="FF2C3E50"/>
        <bgColor rgb="FF003366"/>
      </patternFill>
    </fill>
  </fills>
  <borders count="3">
    <border>
      <left/>
      <right/>
      <top/>
      <bottom/>
      <diagonal/>
    </border>
    <border>
      <left/>
      <right/>
      <top style="medium">
        <color rgb="FF2C3E50"/>
      </top>
      <bottom style="medium">
        <color rgb="FF2C3E50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3" borderId="0" xfId="0" applyFont="1" applyFill="1"/>
    <xf numFmtId="0" fontId="0" fillId="3" borderId="0" xfId="0" applyFill="1"/>
    <xf numFmtId="0" fontId="5" fillId="0" borderId="0" xfId="0" applyFont="1"/>
    <xf numFmtId="164" fontId="5" fillId="0" borderId="0" xfId="0" applyNumberFormat="1" applyFont="1"/>
    <xf numFmtId="164" fontId="0" fillId="0" borderId="0" xfId="0" applyNumberFormat="1"/>
    <xf numFmtId="0" fontId="6" fillId="0" borderId="1" xfId="0" applyFont="1" applyBorder="1"/>
    <xf numFmtId="0" fontId="0" fillId="0" borderId="1" xfId="0" applyBorder="1"/>
    <xf numFmtId="164" fontId="6" fillId="0" borderId="1" xfId="0" applyNumberFormat="1" applyFont="1" applyBorder="1"/>
    <xf numFmtId="0" fontId="4" fillId="4" borderId="0" xfId="0" applyFont="1" applyFill="1"/>
    <xf numFmtId="0" fontId="0" fillId="4" borderId="0" xfId="0" applyFill="1"/>
    <xf numFmtId="0" fontId="5" fillId="0" borderId="2" xfId="0" applyFont="1" applyBorder="1"/>
    <xf numFmtId="164" fontId="7" fillId="0" borderId="0" xfId="0" applyNumberFormat="1" applyFont="1"/>
    <xf numFmtId="164" fontId="5" fillId="5" borderId="2" xfId="0" applyNumberFormat="1" applyFont="1" applyFill="1" applyBorder="1"/>
    <xf numFmtId="164" fontId="5" fillId="6" borderId="2" xfId="0" applyNumberFormat="1" applyFont="1" applyFill="1" applyBorder="1"/>
    <xf numFmtId="164" fontId="0" fillId="0" borderId="2" xfId="0" applyNumberFormat="1" applyBorder="1"/>
    <xf numFmtId="0" fontId="5" fillId="6" borderId="2" xfId="0" applyFont="1" applyFill="1" applyBorder="1"/>
    <xf numFmtId="164" fontId="5" fillId="0" borderId="2" xfId="0" applyNumberFormat="1" applyFont="1" applyBorder="1"/>
    <xf numFmtId="164" fontId="6" fillId="5" borderId="1" xfId="0" applyNumberFormat="1" applyFont="1" applyFill="1" applyBorder="1"/>
    <xf numFmtId="164" fontId="6" fillId="6" borderId="1" xfId="0" applyNumberFormat="1" applyFont="1" applyFill="1" applyBorder="1"/>
    <xf numFmtId="0" fontId="6" fillId="7" borderId="1" xfId="0" applyFont="1" applyFill="1" applyBorder="1"/>
    <xf numFmtId="0" fontId="0" fillId="7" borderId="1" xfId="0" applyFill="1" applyBorder="1"/>
    <xf numFmtId="164" fontId="6" fillId="7" borderId="1" xfId="0" applyNumberFormat="1" applyFont="1" applyFill="1" applyBorder="1"/>
    <xf numFmtId="0" fontId="6" fillId="0" borderId="0" xfId="0" applyFont="1"/>
    <xf numFmtId="0" fontId="9" fillId="8" borderId="0" xfId="0" applyFont="1" applyFill="1" applyAlignment="1">
      <alignment horizontal="center" vertical="center"/>
    </xf>
    <xf numFmtId="165" fontId="5" fillId="5" borderId="2" xfId="0" applyNumberFormat="1" applyFont="1" applyFill="1" applyBorder="1"/>
    <xf numFmtId="0" fontId="5" fillId="5" borderId="2" xfId="0" applyFont="1" applyFill="1" applyBorder="1"/>
    <xf numFmtId="0" fontId="5" fillId="5" borderId="2" xfId="0" applyFont="1" applyFill="1" applyBorder="1" applyAlignment="1">
      <alignment horizontal="center"/>
    </xf>
    <xf numFmtId="165" fontId="5" fillId="6" borderId="2" xfId="0" applyNumberFormat="1" applyFont="1" applyFill="1" applyBorder="1"/>
    <xf numFmtId="0" fontId="5" fillId="6" borderId="2" xfId="0" applyFont="1" applyFill="1" applyBorder="1" applyAlignment="1">
      <alignment horizontal="center"/>
    </xf>
    <xf numFmtId="0" fontId="6" fillId="0" borderId="0" xfId="0" applyFont="1" applyAlignment="1">
      <alignment horizontal="right"/>
    </xf>
    <xf numFmtId="0" fontId="6" fillId="5" borderId="0" xfId="0" applyFont="1" applyFill="1" applyAlignment="1">
      <alignment horizontal="right"/>
    </xf>
    <xf numFmtId="164" fontId="6" fillId="5" borderId="0" xfId="0" applyNumberFormat="1" applyFont="1" applyFill="1"/>
    <xf numFmtId="0" fontId="6" fillId="6" borderId="0" xfId="0" applyFont="1" applyFill="1" applyAlignment="1">
      <alignment horizontal="right"/>
    </xf>
    <xf numFmtId="164" fontId="6" fillId="6" borderId="0" xfId="0" applyNumberFormat="1" applyFont="1" applyFill="1"/>
    <xf numFmtId="0" fontId="4" fillId="7" borderId="0" xfId="0" applyFont="1" applyFill="1" applyAlignment="1">
      <alignment horizontal="right"/>
    </xf>
    <xf numFmtId="164" fontId="4" fillId="7" borderId="0" xfId="0" applyNumberFormat="1" applyFont="1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8F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9E79F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66"/>
      <rgbColor rgb="FF85929E"/>
      <rgbColor rgb="FF003366"/>
      <rgbColor rgb="FF339966"/>
      <rgbColor rgb="FF003300"/>
      <rgbColor rgb="FF333300"/>
      <rgbColor rgb="FF993300"/>
      <rgbColor rgb="FF993366"/>
      <rgbColor rgb="FF555555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zoomScaleNormal="100" workbookViewId="0">
      <pane ySplit="5" topLeftCell="A6" activePane="bottomLeft" state="frozen"/>
      <selection pane="bottomLeft" sqref="A1:F1"/>
    </sheetView>
  </sheetViews>
  <sheetFormatPr baseColWidth="10" defaultColWidth="8.6640625" defaultRowHeight="15" x14ac:dyDescent="0.2"/>
  <cols>
    <col min="1" max="1" width="28" customWidth="1"/>
    <col min="2" max="3" width="16" customWidth="1"/>
    <col min="4" max="5" width="22" customWidth="1"/>
    <col min="6" max="6" width="16" customWidth="1"/>
  </cols>
  <sheetData>
    <row r="1" spans="1:6" ht="18" x14ac:dyDescent="0.2">
      <c r="A1" s="2" t="s">
        <v>0</v>
      </c>
      <c r="B1" s="2"/>
      <c r="C1" s="2"/>
      <c r="D1" s="2"/>
      <c r="E1" s="2"/>
      <c r="F1" s="2"/>
    </row>
    <row r="3" spans="1:6" x14ac:dyDescent="0.2">
      <c r="D3" s="3" t="s">
        <v>1</v>
      </c>
      <c r="E3" s="3" t="s">
        <v>2</v>
      </c>
      <c r="F3" s="3" t="s">
        <v>3</v>
      </c>
    </row>
    <row r="4" spans="1:6" x14ac:dyDescent="0.2">
      <c r="D4" s="4" t="s">
        <v>4</v>
      </c>
      <c r="E4" s="4" t="s">
        <v>5</v>
      </c>
    </row>
    <row r="6" spans="1:6" x14ac:dyDescent="0.2">
      <c r="A6" s="5" t="s">
        <v>6</v>
      </c>
      <c r="B6" s="6"/>
      <c r="C6" s="6"/>
      <c r="D6" s="6"/>
      <c r="E6" s="6"/>
      <c r="F6" s="6"/>
    </row>
    <row r="7" spans="1:6" x14ac:dyDescent="0.2">
      <c r="A7" s="7" t="s">
        <v>7</v>
      </c>
      <c r="D7" s="8">
        <v>72606</v>
      </c>
      <c r="F7" s="9">
        <f>D7</f>
        <v>72606</v>
      </c>
    </row>
    <row r="8" spans="1:6" x14ac:dyDescent="0.2">
      <c r="A8" s="7" t="s">
        <v>8</v>
      </c>
      <c r="E8" s="8">
        <v>14587.34</v>
      </c>
      <c r="F8" s="9">
        <f>E8</f>
        <v>14587.34</v>
      </c>
    </row>
    <row r="9" spans="1:6" x14ac:dyDescent="0.2">
      <c r="A9" s="10" t="s">
        <v>9</v>
      </c>
      <c r="B9" s="11"/>
      <c r="C9" s="11"/>
      <c r="D9" s="12">
        <f>SUM(D7:D8)</f>
        <v>72606</v>
      </c>
      <c r="E9" s="12">
        <f>SUM(E7:E8)</f>
        <v>14587.34</v>
      </c>
      <c r="F9" s="12">
        <f>SUM(F7:F8)</f>
        <v>87193.34</v>
      </c>
    </row>
    <row r="11" spans="1:6" x14ac:dyDescent="0.2">
      <c r="A11" s="13" t="s">
        <v>10</v>
      </c>
      <c r="B11" s="14"/>
      <c r="C11" s="14"/>
      <c r="D11" s="14"/>
      <c r="E11" s="14"/>
      <c r="F11" s="14"/>
    </row>
    <row r="12" spans="1:6" x14ac:dyDescent="0.2">
      <c r="A12" s="15" t="s">
        <v>11</v>
      </c>
      <c r="B12" s="16">
        <f>2266.96*12</f>
        <v>27203.52</v>
      </c>
      <c r="C12" s="16">
        <f>B12*0.25</f>
        <v>6800.88</v>
      </c>
      <c r="D12" s="17">
        <f>C12/12*10</f>
        <v>5667.4</v>
      </c>
      <c r="E12" s="18">
        <f>C12/12*2</f>
        <v>1133.48</v>
      </c>
      <c r="F12" s="19">
        <f t="shared" ref="F12:F22" si="0">D12+E12</f>
        <v>6800.8799999999992</v>
      </c>
    </row>
    <row r="13" spans="1:6" x14ac:dyDescent="0.2">
      <c r="A13" s="15" t="s">
        <v>12</v>
      </c>
      <c r="D13" s="17">
        <v>1700</v>
      </c>
      <c r="E13" s="20"/>
      <c r="F13" s="21">
        <f t="shared" si="0"/>
        <v>1700</v>
      </c>
    </row>
    <row r="14" spans="1:6" x14ac:dyDescent="0.2">
      <c r="A14" s="15" t="s">
        <v>13</v>
      </c>
      <c r="D14" s="17">
        <v>285</v>
      </c>
      <c r="E14" s="20"/>
      <c r="F14" s="21">
        <f t="shared" si="0"/>
        <v>285</v>
      </c>
    </row>
    <row r="15" spans="1:6" x14ac:dyDescent="0.2">
      <c r="A15" s="15" t="s">
        <v>14</v>
      </c>
      <c r="D15" s="17">
        <v>1800</v>
      </c>
      <c r="E15" s="20"/>
      <c r="F15" s="21">
        <f t="shared" si="0"/>
        <v>1800</v>
      </c>
    </row>
    <row r="16" spans="1:6" x14ac:dyDescent="0.2">
      <c r="A16" s="15" t="s">
        <v>15</v>
      </c>
      <c r="D16" s="17">
        <v>428</v>
      </c>
      <c r="E16" s="20"/>
      <c r="F16" s="21">
        <f t="shared" si="0"/>
        <v>428</v>
      </c>
    </row>
    <row r="17" spans="1:6" x14ac:dyDescent="0.2">
      <c r="A17" s="15" t="s">
        <v>16</v>
      </c>
      <c r="D17" s="17">
        <v>400</v>
      </c>
      <c r="E17" s="20"/>
      <c r="F17" s="21">
        <f t="shared" si="0"/>
        <v>400</v>
      </c>
    </row>
    <row r="18" spans="1:6" x14ac:dyDescent="0.2">
      <c r="A18" s="15" t="s">
        <v>17</v>
      </c>
      <c r="D18" s="17">
        <v>6821.54</v>
      </c>
      <c r="E18" s="18">
        <v>2292.37</v>
      </c>
      <c r="F18" s="21">
        <f t="shared" si="0"/>
        <v>9113.91</v>
      </c>
    </row>
    <row r="19" spans="1:6" x14ac:dyDescent="0.2">
      <c r="A19" s="15" t="s">
        <v>18</v>
      </c>
      <c r="D19" s="17">
        <v>6213.33</v>
      </c>
      <c r="E19" s="18">
        <v>471.42</v>
      </c>
      <c r="F19" s="21">
        <f t="shared" si="0"/>
        <v>6684.75</v>
      </c>
    </row>
    <row r="20" spans="1:6" x14ac:dyDescent="0.2">
      <c r="A20" s="15" t="s">
        <v>19</v>
      </c>
      <c r="D20" s="17">
        <v>880.41</v>
      </c>
      <c r="E20" s="18">
        <v>139</v>
      </c>
      <c r="F20" s="21">
        <f t="shared" si="0"/>
        <v>1019.41</v>
      </c>
    </row>
    <row r="21" spans="1:6" x14ac:dyDescent="0.2">
      <c r="A21" s="15" t="s">
        <v>20</v>
      </c>
      <c r="D21" s="17">
        <v>899.56</v>
      </c>
      <c r="E21" s="18">
        <v>134.97</v>
      </c>
      <c r="F21" s="21">
        <f t="shared" si="0"/>
        <v>1034.53</v>
      </c>
    </row>
    <row r="22" spans="1:6" x14ac:dyDescent="0.2">
      <c r="A22" s="15" t="s">
        <v>21</v>
      </c>
      <c r="D22" s="17">
        <v>1980</v>
      </c>
      <c r="E22" s="20"/>
      <c r="F22" s="21">
        <f t="shared" si="0"/>
        <v>1980</v>
      </c>
    </row>
    <row r="24" spans="1:6" x14ac:dyDescent="0.2">
      <c r="A24" s="10" t="s">
        <v>22</v>
      </c>
      <c r="B24" s="11"/>
      <c r="C24" s="11"/>
      <c r="D24" s="22">
        <f>SUM(D12:D22)</f>
        <v>27075.239999999998</v>
      </c>
      <c r="E24" s="23">
        <f>SUM(E12:E22)</f>
        <v>4171.24</v>
      </c>
      <c r="F24" s="12">
        <f>SUM(F12:F22)</f>
        <v>31246.48</v>
      </c>
    </row>
    <row r="26" spans="1:6" x14ac:dyDescent="0.2">
      <c r="A26" s="24" t="s">
        <v>23</v>
      </c>
      <c r="B26" s="25"/>
      <c r="C26" s="25"/>
      <c r="D26" s="26">
        <f>D9-D24</f>
        <v>45530.76</v>
      </c>
      <c r="E26" s="26">
        <f>E9-E24</f>
        <v>10416.1</v>
      </c>
      <c r="F26" s="26">
        <f>F9-F24</f>
        <v>55946.86</v>
      </c>
    </row>
    <row r="28" spans="1:6" x14ac:dyDescent="0.2">
      <c r="A28" s="27" t="s">
        <v>24</v>
      </c>
    </row>
    <row r="29" spans="1:6" x14ac:dyDescent="0.2">
      <c r="A29" s="1" t="s">
        <v>25</v>
      </c>
      <c r="B29" s="1"/>
      <c r="C29" s="1"/>
      <c r="D29" s="1"/>
      <c r="E29" s="1"/>
      <c r="F29" s="1"/>
    </row>
    <row r="30" spans="1:6" x14ac:dyDescent="0.2">
      <c r="A30" s="1" t="s">
        <v>26</v>
      </c>
      <c r="B30" s="1"/>
      <c r="C30" s="1"/>
      <c r="D30" s="1"/>
      <c r="E30" s="1"/>
      <c r="F30" s="1"/>
    </row>
    <row r="31" spans="1:6" x14ac:dyDescent="0.2">
      <c r="A31" s="1" t="s">
        <v>27</v>
      </c>
      <c r="B31" s="1"/>
      <c r="C31" s="1"/>
      <c r="D31" s="1"/>
      <c r="E31" s="1"/>
      <c r="F31" s="1"/>
    </row>
    <row r="32" spans="1:6" x14ac:dyDescent="0.2">
      <c r="A32" s="1" t="s">
        <v>28</v>
      </c>
      <c r="B32" s="1"/>
      <c r="C32" s="1"/>
      <c r="D32" s="1"/>
      <c r="E32" s="1"/>
      <c r="F32" s="1"/>
    </row>
    <row r="33" spans="1:6" x14ac:dyDescent="0.2">
      <c r="A33" s="1" t="s">
        <v>29</v>
      </c>
      <c r="B33" s="1"/>
      <c r="C33" s="1"/>
      <c r="D33" s="1"/>
      <c r="E33" s="1"/>
      <c r="F33" s="1"/>
    </row>
    <row r="34" spans="1:6" x14ac:dyDescent="0.2">
      <c r="A34" s="1" t="s">
        <v>30</v>
      </c>
      <c r="B34" s="1"/>
      <c r="C34" s="1"/>
      <c r="D34" s="1"/>
      <c r="E34" s="1"/>
      <c r="F34" s="1"/>
    </row>
    <row r="35" spans="1:6" x14ac:dyDescent="0.2">
      <c r="A35" s="1" t="s">
        <v>31</v>
      </c>
      <c r="B35" s="1"/>
      <c r="C35" s="1"/>
      <c r="D35" s="1"/>
      <c r="E35" s="1"/>
      <c r="F35" s="1"/>
    </row>
  </sheetData>
  <mergeCells count="8">
    <mergeCell ref="A33:F33"/>
    <mergeCell ref="A34:F34"/>
    <mergeCell ref="A35:F35"/>
    <mergeCell ref="A1:F1"/>
    <mergeCell ref="A29:F29"/>
    <mergeCell ref="A30:F30"/>
    <mergeCell ref="A31:F31"/>
    <mergeCell ref="A32:F3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4" customWidth="1"/>
    <col min="2" max="2" width="24" customWidth="1"/>
    <col min="3" max="3" width="16" customWidth="1"/>
    <col min="4" max="4" width="14" customWidth="1"/>
    <col min="5" max="5" width="22" customWidth="1"/>
    <col min="6" max="6" width="48" customWidth="1"/>
    <col min="7" max="7" width="16" customWidth="1"/>
  </cols>
  <sheetData>
    <row r="1" spans="1:7" x14ac:dyDescent="0.2">
      <c r="A1" s="28" t="s">
        <v>32</v>
      </c>
      <c r="B1" s="28" t="s">
        <v>33</v>
      </c>
      <c r="C1" s="28" t="s">
        <v>34</v>
      </c>
      <c r="D1" s="28" t="s">
        <v>35</v>
      </c>
      <c r="E1" s="28" t="s">
        <v>36</v>
      </c>
      <c r="F1" s="28" t="s">
        <v>37</v>
      </c>
      <c r="G1" s="28" t="s">
        <v>38</v>
      </c>
    </row>
    <row r="2" spans="1:7" x14ac:dyDescent="0.2">
      <c r="A2" s="29">
        <v>45658</v>
      </c>
      <c r="B2" s="30" t="s">
        <v>39</v>
      </c>
      <c r="C2" s="17">
        <v>65.31</v>
      </c>
      <c r="D2" s="17">
        <v>65.31</v>
      </c>
      <c r="E2" s="30" t="s">
        <v>40</v>
      </c>
      <c r="F2" s="30" t="s">
        <v>41</v>
      </c>
      <c r="G2" s="30" t="s">
        <v>42</v>
      </c>
    </row>
    <row r="3" spans="1:7" x14ac:dyDescent="0.2">
      <c r="A3" s="29">
        <v>45658</v>
      </c>
      <c r="B3" s="30" t="s">
        <v>12</v>
      </c>
      <c r="C3" s="31" t="s">
        <v>43</v>
      </c>
      <c r="D3" s="17">
        <v>1700</v>
      </c>
      <c r="E3" s="30" t="s">
        <v>44</v>
      </c>
      <c r="F3" s="30" t="s">
        <v>45</v>
      </c>
      <c r="G3" s="30" t="s">
        <v>42</v>
      </c>
    </row>
    <row r="4" spans="1:7" x14ac:dyDescent="0.2">
      <c r="A4" s="29">
        <v>45658</v>
      </c>
      <c r="B4" s="30" t="s">
        <v>14</v>
      </c>
      <c r="C4" s="31" t="s">
        <v>43</v>
      </c>
      <c r="D4" s="17">
        <v>1800</v>
      </c>
      <c r="E4" s="30" t="s">
        <v>46</v>
      </c>
      <c r="F4" s="30" t="s">
        <v>47</v>
      </c>
      <c r="G4" s="30" t="s">
        <v>42</v>
      </c>
    </row>
    <row r="5" spans="1:7" x14ac:dyDescent="0.2">
      <c r="A5" s="29">
        <v>45658</v>
      </c>
      <c r="B5" s="30" t="s">
        <v>13</v>
      </c>
      <c r="C5" s="31" t="s">
        <v>43</v>
      </c>
      <c r="D5" s="17">
        <v>285</v>
      </c>
      <c r="E5" s="30" t="s">
        <v>44</v>
      </c>
      <c r="F5" s="30" t="s">
        <v>48</v>
      </c>
      <c r="G5" s="30" t="s">
        <v>42</v>
      </c>
    </row>
    <row r="6" spans="1:7" x14ac:dyDescent="0.2">
      <c r="A6" s="29">
        <v>45658</v>
      </c>
      <c r="B6" s="30" t="s">
        <v>49</v>
      </c>
      <c r="C6" s="17">
        <v>2266.96</v>
      </c>
      <c r="D6" s="17">
        <v>2266.96</v>
      </c>
      <c r="E6" s="30" t="s">
        <v>49</v>
      </c>
      <c r="F6" s="30" t="s">
        <v>50</v>
      </c>
      <c r="G6" s="30" t="s">
        <v>42</v>
      </c>
    </row>
    <row r="7" spans="1:7" x14ac:dyDescent="0.2">
      <c r="A7" s="29">
        <v>45658</v>
      </c>
      <c r="B7" s="30" t="s">
        <v>51</v>
      </c>
      <c r="C7" s="31" t="s">
        <v>43</v>
      </c>
      <c r="D7" s="17">
        <v>428</v>
      </c>
      <c r="E7" s="30" t="s">
        <v>52</v>
      </c>
      <c r="F7" s="30" t="s">
        <v>53</v>
      </c>
      <c r="G7" s="30" t="s">
        <v>42</v>
      </c>
    </row>
    <row r="8" spans="1:7" x14ac:dyDescent="0.2">
      <c r="A8" s="29">
        <v>45658</v>
      </c>
      <c r="B8" s="30" t="s">
        <v>16</v>
      </c>
      <c r="C8" s="31" t="s">
        <v>43</v>
      </c>
      <c r="D8" s="17">
        <v>400</v>
      </c>
      <c r="E8" s="30" t="s">
        <v>52</v>
      </c>
      <c r="F8" s="30" t="s">
        <v>54</v>
      </c>
      <c r="G8" s="30" t="s">
        <v>42</v>
      </c>
    </row>
    <row r="9" spans="1:7" x14ac:dyDescent="0.2">
      <c r="A9" s="29">
        <v>45659</v>
      </c>
      <c r="B9" s="30" t="s">
        <v>55</v>
      </c>
      <c r="C9" s="31" t="s">
        <v>43</v>
      </c>
      <c r="D9" s="17">
        <v>1980</v>
      </c>
      <c r="E9" s="30" t="s">
        <v>21</v>
      </c>
      <c r="F9" s="30" t="s">
        <v>56</v>
      </c>
      <c r="G9" s="30" t="s">
        <v>42</v>
      </c>
    </row>
    <row r="10" spans="1:7" x14ac:dyDescent="0.2">
      <c r="A10" s="29">
        <v>45670</v>
      </c>
      <c r="B10" s="30" t="s">
        <v>57</v>
      </c>
      <c r="C10" s="31" t="s">
        <v>43</v>
      </c>
      <c r="D10" s="17">
        <v>179.84</v>
      </c>
      <c r="E10" s="30" t="s">
        <v>20</v>
      </c>
      <c r="F10" s="30" t="s">
        <v>58</v>
      </c>
      <c r="G10" s="30" t="s">
        <v>42</v>
      </c>
    </row>
    <row r="11" spans="1:7" x14ac:dyDescent="0.2">
      <c r="A11" s="29">
        <v>45689</v>
      </c>
      <c r="B11" s="30" t="s">
        <v>39</v>
      </c>
      <c r="C11" s="17">
        <v>65.31</v>
      </c>
      <c r="D11" s="17">
        <v>65.31</v>
      </c>
      <c r="E11" s="30" t="s">
        <v>40</v>
      </c>
      <c r="F11" s="30" t="s">
        <v>59</v>
      </c>
      <c r="G11" s="30" t="s">
        <v>42</v>
      </c>
    </row>
    <row r="12" spans="1:7" x14ac:dyDescent="0.2">
      <c r="A12" s="29">
        <v>45689</v>
      </c>
      <c r="B12" s="30" t="s">
        <v>49</v>
      </c>
      <c r="C12" s="17">
        <v>2266.96</v>
      </c>
      <c r="D12" s="17">
        <v>2266.96</v>
      </c>
      <c r="E12" s="30" t="s">
        <v>49</v>
      </c>
      <c r="F12" s="30" t="s">
        <v>60</v>
      </c>
      <c r="G12" s="30" t="s">
        <v>42</v>
      </c>
    </row>
    <row r="13" spans="1:7" x14ac:dyDescent="0.2">
      <c r="A13" s="29">
        <v>45717</v>
      </c>
      <c r="B13" s="30" t="s">
        <v>39</v>
      </c>
      <c r="C13" s="17">
        <v>65.31</v>
      </c>
      <c r="D13" s="17">
        <v>65.31</v>
      </c>
      <c r="E13" s="30" t="s">
        <v>40</v>
      </c>
      <c r="F13" s="30" t="s">
        <v>61</v>
      </c>
      <c r="G13" s="30" t="s">
        <v>42</v>
      </c>
    </row>
    <row r="14" spans="1:7" x14ac:dyDescent="0.2">
      <c r="A14" s="29">
        <v>45717</v>
      </c>
      <c r="B14" s="30" t="s">
        <v>49</v>
      </c>
      <c r="C14" s="17">
        <v>2266.96</v>
      </c>
      <c r="D14" s="17">
        <v>2266.96</v>
      </c>
      <c r="E14" s="30" t="s">
        <v>49</v>
      </c>
      <c r="F14" s="30" t="s">
        <v>62</v>
      </c>
      <c r="G14" s="30" t="s">
        <v>42</v>
      </c>
    </row>
    <row r="15" spans="1:7" x14ac:dyDescent="0.2">
      <c r="A15" s="29">
        <v>45733</v>
      </c>
      <c r="B15" s="30" t="s">
        <v>63</v>
      </c>
      <c r="C15" s="31" t="s">
        <v>43</v>
      </c>
      <c r="D15" s="17">
        <v>134.97</v>
      </c>
      <c r="E15" s="30" t="s">
        <v>20</v>
      </c>
      <c r="F15" s="30" t="s">
        <v>64</v>
      </c>
      <c r="G15" s="30" t="s">
        <v>42</v>
      </c>
    </row>
    <row r="16" spans="1:7" x14ac:dyDescent="0.2">
      <c r="A16" s="29">
        <v>45748</v>
      </c>
      <c r="B16" s="30" t="s">
        <v>39</v>
      </c>
      <c r="C16" s="17">
        <v>65.31</v>
      </c>
      <c r="D16" s="17">
        <v>65.31</v>
      </c>
      <c r="E16" s="30" t="s">
        <v>40</v>
      </c>
      <c r="F16" s="30" t="s">
        <v>65</v>
      </c>
      <c r="G16" s="30" t="s">
        <v>42</v>
      </c>
    </row>
    <row r="17" spans="1:7" x14ac:dyDescent="0.2">
      <c r="A17" s="29">
        <v>45748</v>
      </c>
      <c r="B17" s="30" t="s">
        <v>49</v>
      </c>
      <c r="C17" s="17">
        <v>2266.96</v>
      </c>
      <c r="D17" s="17">
        <v>2266.96</v>
      </c>
      <c r="E17" s="30" t="s">
        <v>49</v>
      </c>
      <c r="F17" s="30" t="s">
        <v>66</v>
      </c>
      <c r="G17" s="30" t="s">
        <v>42</v>
      </c>
    </row>
    <row r="18" spans="1:7" x14ac:dyDescent="0.2">
      <c r="A18" s="29">
        <v>45767</v>
      </c>
      <c r="B18" s="30" t="s">
        <v>67</v>
      </c>
      <c r="C18" s="17">
        <v>8.33</v>
      </c>
      <c r="D18" s="17">
        <v>99.99</v>
      </c>
      <c r="E18" s="30" t="s">
        <v>40</v>
      </c>
      <c r="F18" s="30" t="s">
        <v>68</v>
      </c>
      <c r="G18" s="30" t="s">
        <v>42</v>
      </c>
    </row>
    <row r="19" spans="1:7" x14ac:dyDescent="0.2">
      <c r="A19" s="29">
        <v>45774</v>
      </c>
      <c r="B19" s="30" t="s">
        <v>69</v>
      </c>
      <c r="C19" s="17">
        <v>6.6</v>
      </c>
      <c r="D19" s="17">
        <v>79.2</v>
      </c>
      <c r="E19" s="30" t="s">
        <v>40</v>
      </c>
      <c r="F19" s="30" t="s">
        <v>70</v>
      </c>
      <c r="G19" s="30" t="s">
        <v>42</v>
      </c>
    </row>
    <row r="20" spans="1:7" x14ac:dyDescent="0.2">
      <c r="A20" s="29">
        <v>45775</v>
      </c>
      <c r="B20" s="30" t="s">
        <v>71</v>
      </c>
      <c r="C20" s="17">
        <v>21.78</v>
      </c>
      <c r="D20" s="17">
        <v>21.78</v>
      </c>
      <c r="E20" s="30" t="s">
        <v>40</v>
      </c>
      <c r="F20" s="30" t="s">
        <v>72</v>
      </c>
      <c r="G20" s="30" t="s">
        <v>42</v>
      </c>
    </row>
    <row r="21" spans="1:7" x14ac:dyDescent="0.2">
      <c r="A21" s="29">
        <v>45778</v>
      </c>
      <c r="B21" s="30" t="s">
        <v>39</v>
      </c>
      <c r="C21" s="17">
        <v>65.31</v>
      </c>
      <c r="D21" s="17">
        <v>65.31</v>
      </c>
      <c r="E21" s="30" t="s">
        <v>40</v>
      </c>
      <c r="F21" s="30" t="s">
        <v>73</v>
      </c>
      <c r="G21" s="30" t="s">
        <v>42</v>
      </c>
    </row>
    <row r="22" spans="1:7" x14ac:dyDescent="0.2">
      <c r="A22" s="29">
        <v>45778</v>
      </c>
      <c r="B22" s="30" t="s">
        <v>49</v>
      </c>
      <c r="C22" s="17">
        <v>2266.96</v>
      </c>
      <c r="D22" s="17">
        <v>2266.96</v>
      </c>
      <c r="E22" s="30" t="s">
        <v>49</v>
      </c>
      <c r="F22" s="30" t="s">
        <v>74</v>
      </c>
      <c r="G22" s="30" t="s">
        <v>42</v>
      </c>
    </row>
    <row r="23" spans="1:7" x14ac:dyDescent="0.2">
      <c r="A23" s="29">
        <v>45781</v>
      </c>
      <c r="B23" s="30" t="s">
        <v>75</v>
      </c>
      <c r="C23" s="17">
        <v>19.96</v>
      </c>
      <c r="D23" s="17">
        <v>239.53</v>
      </c>
      <c r="E23" s="30" t="s">
        <v>40</v>
      </c>
      <c r="F23" s="30" t="s">
        <v>76</v>
      </c>
      <c r="G23" s="30" t="s">
        <v>42</v>
      </c>
    </row>
    <row r="24" spans="1:7" x14ac:dyDescent="0.2">
      <c r="A24" s="29">
        <v>45796</v>
      </c>
      <c r="B24" s="30" t="s">
        <v>63</v>
      </c>
      <c r="C24" s="31" t="s">
        <v>43</v>
      </c>
      <c r="D24" s="17">
        <v>134.97</v>
      </c>
      <c r="E24" s="30" t="s">
        <v>20</v>
      </c>
      <c r="F24" s="30" t="s">
        <v>77</v>
      </c>
      <c r="G24" s="30" t="s">
        <v>42</v>
      </c>
    </row>
    <row r="25" spans="1:7" x14ac:dyDescent="0.2">
      <c r="A25" s="29">
        <v>45803</v>
      </c>
      <c r="B25" s="30" t="s">
        <v>78</v>
      </c>
      <c r="C25" s="17">
        <v>217.75</v>
      </c>
      <c r="D25" s="17">
        <v>217.75</v>
      </c>
      <c r="E25" s="30" t="s">
        <v>40</v>
      </c>
      <c r="F25" s="30" t="s">
        <v>79</v>
      </c>
      <c r="G25" s="30" t="s">
        <v>42</v>
      </c>
    </row>
    <row r="26" spans="1:7" x14ac:dyDescent="0.2">
      <c r="A26" s="29">
        <v>45805</v>
      </c>
      <c r="B26" s="30" t="s">
        <v>71</v>
      </c>
      <c r="C26" s="17">
        <v>21.78</v>
      </c>
      <c r="D26" s="17">
        <v>21.78</v>
      </c>
      <c r="E26" s="30" t="s">
        <v>40</v>
      </c>
      <c r="F26" s="30" t="s">
        <v>80</v>
      </c>
      <c r="G26" s="30" t="s">
        <v>42</v>
      </c>
    </row>
    <row r="27" spans="1:7" x14ac:dyDescent="0.2">
      <c r="A27" s="29">
        <v>45805</v>
      </c>
      <c r="B27" s="30" t="s">
        <v>81</v>
      </c>
      <c r="C27" s="31" t="s">
        <v>43</v>
      </c>
      <c r="D27" s="17">
        <v>850</v>
      </c>
      <c r="E27" s="30" t="s">
        <v>82</v>
      </c>
      <c r="F27" s="30" t="s">
        <v>83</v>
      </c>
      <c r="G27" s="30" t="s">
        <v>42</v>
      </c>
    </row>
    <row r="28" spans="1:7" x14ac:dyDescent="0.2">
      <c r="A28" s="29">
        <v>45806</v>
      </c>
      <c r="B28" s="30" t="s">
        <v>84</v>
      </c>
      <c r="C28" s="17">
        <v>272.18</v>
      </c>
      <c r="D28" s="17">
        <v>272.18</v>
      </c>
      <c r="E28" s="30" t="s">
        <v>40</v>
      </c>
      <c r="F28" s="30" t="s">
        <v>85</v>
      </c>
      <c r="G28" s="30" t="s">
        <v>42</v>
      </c>
    </row>
    <row r="29" spans="1:7" x14ac:dyDescent="0.2">
      <c r="A29" s="29">
        <v>45806</v>
      </c>
      <c r="B29" s="30" t="s">
        <v>86</v>
      </c>
      <c r="C29" s="17">
        <v>32.659999999999997</v>
      </c>
      <c r="D29" s="17">
        <v>32.659999999999997</v>
      </c>
      <c r="E29" s="30" t="s">
        <v>40</v>
      </c>
      <c r="F29" s="30" t="s">
        <v>87</v>
      </c>
      <c r="G29" s="30" t="s">
        <v>42</v>
      </c>
    </row>
    <row r="30" spans="1:7" x14ac:dyDescent="0.2">
      <c r="A30" s="29">
        <v>45809</v>
      </c>
      <c r="B30" s="30" t="s">
        <v>39</v>
      </c>
      <c r="C30" s="17">
        <v>65.31</v>
      </c>
      <c r="D30" s="17">
        <v>65.31</v>
      </c>
      <c r="E30" s="30" t="s">
        <v>40</v>
      </c>
      <c r="F30" s="30" t="s">
        <v>88</v>
      </c>
      <c r="G30" s="30" t="s">
        <v>42</v>
      </c>
    </row>
    <row r="31" spans="1:7" x14ac:dyDescent="0.2">
      <c r="A31" s="29">
        <v>45809</v>
      </c>
      <c r="B31" s="30" t="s">
        <v>49</v>
      </c>
      <c r="C31" s="17">
        <v>2266.96</v>
      </c>
      <c r="D31" s="17">
        <v>2266.96</v>
      </c>
      <c r="E31" s="30" t="s">
        <v>49</v>
      </c>
      <c r="F31" s="30" t="s">
        <v>89</v>
      </c>
      <c r="G31" s="30" t="s">
        <v>42</v>
      </c>
    </row>
    <row r="32" spans="1:7" x14ac:dyDescent="0.2">
      <c r="A32" s="29">
        <v>45821</v>
      </c>
      <c r="B32" s="30" t="s">
        <v>90</v>
      </c>
      <c r="C32" s="17">
        <v>17.420000000000002</v>
      </c>
      <c r="D32" s="17">
        <v>209.04</v>
      </c>
      <c r="E32" s="30" t="s">
        <v>40</v>
      </c>
      <c r="F32" s="30" t="s">
        <v>70</v>
      </c>
      <c r="G32" s="30" t="s">
        <v>42</v>
      </c>
    </row>
    <row r="33" spans="1:7" x14ac:dyDescent="0.2">
      <c r="A33" s="29">
        <v>45824</v>
      </c>
      <c r="B33" s="30" t="s">
        <v>91</v>
      </c>
      <c r="C33" s="17">
        <v>21.78</v>
      </c>
      <c r="D33" s="17">
        <v>21.78</v>
      </c>
      <c r="E33" s="30" t="s">
        <v>40</v>
      </c>
      <c r="F33" s="30" t="s">
        <v>92</v>
      </c>
      <c r="G33" s="30" t="s">
        <v>42</v>
      </c>
    </row>
    <row r="34" spans="1:7" x14ac:dyDescent="0.2">
      <c r="A34" s="29">
        <v>45834</v>
      </c>
      <c r="B34" s="30" t="s">
        <v>78</v>
      </c>
      <c r="C34" s="17">
        <v>217.75</v>
      </c>
      <c r="D34" s="17">
        <v>217.75</v>
      </c>
      <c r="E34" s="30" t="s">
        <v>40</v>
      </c>
      <c r="F34" s="30" t="s">
        <v>93</v>
      </c>
      <c r="G34" s="30" t="s">
        <v>42</v>
      </c>
    </row>
    <row r="35" spans="1:7" x14ac:dyDescent="0.2">
      <c r="A35" s="29">
        <v>45836</v>
      </c>
      <c r="B35" s="30" t="s">
        <v>71</v>
      </c>
      <c r="C35" s="17">
        <v>21.78</v>
      </c>
      <c r="D35" s="17">
        <v>21.78</v>
      </c>
      <c r="E35" s="30" t="s">
        <v>40</v>
      </c>
      <c r="F35" s="30" t="s">
        <v>94</v>
      </c>
      <c r="G35" s="30" t="s">
        <v>42</v>
      </c>
    </row>
    <row r="36" spans="1:7" x14ac:dyDescent="0.2">
      <c r="A36" s="29">
        <v>45837</v>
      </c>
      <c r="B36" s="30" t="s">
        <v>84</v>
      </c>
      <c r="C36" s="17">
        <v>272.18</v>
      </c>
      <c r="D36" s="17">
        <v>272.18</v>
      </c>
      <c r="E36" s="30" t="s">
        <v>40</v>
      </c>
      <c r="F36" s="30" t="s">
        <v>95</v>
      </c>
      <c r="G36" s="30" t="s">
        <v>42</v>
      </c>
    </row>
    <row r="37" spans="1:7" x14ac:dyDescent="0.2">
      <c r="A37" s="29">
        <v>45837</v>
      </c>
      <c r="B37" s="30" t="s">
        <v>86</v>
      </c>
      <c r="C37" s="17">
        <v>32.659999999999997</v>
      </c>
      <c r="D37" s="17">
        <v>32.659999999999997</v>
      </c>
      <c r="E37" s="30" t="s">
        <v>40</v>
      </c>
      <c r="F37" s="30" t="s">
        <v>96</v>
      </c>
      <c r="G37" s="30" t="s">
        <v>42</v>
      </c>
    </row>
    <row r="38" spans="1:7" x14ac:dyDescent="0.2">
      <c r="A38" s="29">
        <v>45839</v>
      </c>
      <c r="B38" s="30" t="s">
        <v>39</v>
      </c>
      <c r="C38" s="17">
        <v>65.31</v>
      </c>
      <c r="D38" s="17">
        <v>65.31</v>
      </c>
      <c r="E38" s="30" t="s">
        <v>40</v>
      </c>
      <c r="F38" s="30" t="s">
        <v>97</v>
      </c>
      <c r="G38" s="30" t="s">
        <v>42</v>
      </c>
    </row>
    <row r="39" spans="1:7" x14ac:dyDescent="0.2">
      <c r="A39" s="29">
        <v>45839</v>
      </c>
      <c r="B39" s="30" t="s">
        <v>49</v>
      </c>
      <c r="C39" s="17">
        <v>2266.96</v>
      </c>
      <c r="D39" s="17">
        <v>2266.96</v>
      </c>
      <c r="E39" s="30" t="s">
        <v>49</v>
      </c>
      <c r="F39" s="30" t="s">
        <v>98</v>
      </c>
      <c r="G39" s="30" t="s">
        <v>42</v>
      </c>
    </row>
    <row r="40" spans="1:7" x14ac:dyDescent="0.2">
      <c r="A40" s="29">
        <v>45845</v>
      </c>
      <c r="B40" s="30" t="s">
        <v>99</v>
      </c>
      <c r="C40" s="31" t="s">
        <v>43</v>
      </c>
      <c r="D40" s="17">
        <v>96</v>
      </c>
      <c r="E40" s="30" t="s">
        <v>40</v>
      </c>
      <c r="F40" s="30" t="s">
        <v>100</v>
      </c>
      <c r="G40" s="30" t="s">
        <v>42</v>
      </c>
    </row>
    <row r="41" spans="1:7" x14ac:dyDescent="0.2">
      <c r="A41" s="29">
        <v>45850</v>
      </c>
      <c r="B41" s="30" t="s">
        <v>57</v>
      </c>
      <c r="C41" s="31" t="s">
        <v>43</v>
      </c>
      <c r="D41" s="17">
        <v>179.84</v>
      </c>
      <c r="E41" s="30" t="s">
        <v>20</v>
      </c>
      <c r="F41" s="30" t="s">
        <v>101</v>
      </c>
      <c r="G41" s="30" t="s">
        <v>42</v>
      </c>
    </row>
    <row r="42" spans="1:7" x14ac:dyDescent="0.2">
      <c r="A42" s="29">
        <v>45854</v>
      </c>
      <c r="B42" s="30" t="s">
        <v>91</v>
      </c>
      <c r="C42" s="17">
        <v>21.78</v>
      </c>
      <c r="D42" s="17">
        <v>21.78</v>
      </c>
      <c r="E42" s="30" t="s">
        <v>40</v>
      </c>
      <c r="F42" s="30" t="s">
        <v>102</v>
      </c>
      <c r="G42" s="30" t="s">
        <v>42</v>
      </c>
    </row>
    <row r="43" spans="1:7" x14ac:dyDescent="0.2">
      <c r="A43" s="29">
        <v>45863</v>
      </c>
      <c r="B43" s="30" t="s">
        <v>99</v>
      </c>
      <c r="C43" s="31" t="s">
        <v>43</v>
      </c>
      <c r="D43" s="17">
        <v>91.28</v>
      </c>
      <c r="E43" s="30" t="s">
        <v>40</v>
      </c>
      <c r="F43" s="30" t="s">
        <v>103</v>
      </c>
      <c r="G43" s="30" t="s">
        <v>42</v>
      </c>
    </row>
    <row r="44" spans="1:7" x14ac:dyDescent="0.2">
      <c r="A44" s="29">
        <v>45864</v>
      </c>
      <c r="B44" s="30" t="s">
        <v>78</v>
      </c>
      <c r="C44" s="17">
        <v>217.75</v>
      </c>
      <c r="D44" s="17">
        <v>217.75</v>
      </c>
      <c r="E44" s="30" t="s">
        <v>40</v>
      </c>
      <c r="F44" s="30" t="s">
        <v>104</v>
      </c>
      <c r="G44" s="30" t="s">
        <v>42</v>
      </c>
    </row>
    <row r="45" spans="1:7" x14ac:dyDescent="0.2">
      <c r="A45" s="29">
        <v>45866</v>
      </c>
      <c r="B45" s="30" t="s">
        <v>71</v>
      </c>
      <c r="C45" s="17">
        <v>21.78</v>
      </c>
      <c r="D45" s="17">
        <v>21.78</v>
      </c>
      <c r="E45" s="30" t="s">
        <v>40</v>
      </c>
      <c r="F45" s="30" t="s">
        <v>105</v>
      </c>
      <c r="G45" s="30" t="s">
        <v>42</v>
      </c>
    </row>
    <row r="46" spans="1:7" x14ac:dyDescent="0.2">
      <c r="A46" s="29">
        <v>45867</v>
      </c>
      <c r="B46" s="30" t="s">
        <v>84</v>
      </c>
      <c r="C46" s="17">
        <v>272.18</v>
      </c>
      <c r="D46" s="17">
        <v>272.18</v>
      </c>
      <c r="E46" s="30" t="s">
        <v>40</v>
      </c>
      <c r="F46" s="30" t="s">
        <v>106</v>
      </c>
      <c r="G46" s="30" t="s">
        <v>42</v>
      </c>
    </row>
    <row r="47" spans="1:7" x14ac:dyDescent="0.2">
      <c r="A47" s="29">
        <v>45867</v>
      </c>
      <c r="B47" s="30" t="s">
        <v>86</v>
      </c>
      <c r="C47" s="17">
        <v>32.659999999999997</v>
      </c>
      <c r="D47" s="17">
        <v>32.659999999999997</v>
      </c>
      <c r="E47" s="30" t="s">
        <v>40</v>
      </c>
      <c r="F47" s="30" t="s">
        <v>107</v>
      </c>
      <c r="G47" s="30" t="s">
        <v>42</v>
      </c>
    </row>
    <row r="48" spans="1:7" x14ac:dyDescent="0.2">
      <c r="A48" s="29">
        <v>45867</v>
      </c>
      <c r="B48" s="30" t="s">
        <v>63</v>
      </c>
      <c r="C48" s="31" t="s">
        <v>43</v>
      </c>
      <c r="D48" s="17">
        <v>134.97</v>
      </c>
      <c r="E48" s="30" t="s">
        <v>20</v>
      </c>
      <c r="F48" s="30" t="s">
        <v>108</v>
      </c>
      <c r="G48" s="30" t="s">
        <v>42</v>
      </c>
    </row>
    <row r="49" spans="1:7" x14ac:dyDescent="0.2">
      <c r="A49" s="29">
        <v>45870</v>
      </c>
      <c r="B49" s="30" t="s">
        <v>39</v>
      </c>
      <c r="C49" s="17">
        <v>65.31</v>
      </c>
      <c r="D49" s="17">
        <v>65.31</v>
      </c>
      <c r="E49" s="30" t="s">
        <v>40</v>
      </c>
      <c r="F49" s="30" t="s">
        <v>109</v>
      </c>
      <c r="G49" s="30" t="s">
        <v>42</v>
      </c>
    </row>
    <row r="50" spans="1:7" x14ac:dyDescent="0.2">
      <c r="A50" s="29">
        <v>45870</v>
      </c>
      <c r="B50" s="30" t="s">
        <v>49</v>
      </c>
      <c r="C50" s="17">
        <v>2266.96</v>
      </c>
      <c r="D50" s="17">
        <v>2266.96</v>
      </c>
      <c r="E50" s="30" t="s">
        <v>49</v>
      </c>
      <c r="F50" s="30" t="s">
        <v>110</v>
      </c>
      <c r="G50" s="30" t="s">
        <v>42</v>
      </c>
    </row>
    <row r="51" spans="1:7" x14ac:dyDescent="0.2">
      <c r="A51" s="29">
        <v>45878</v>
      </c>
      <c r="B51" s="30" t="s">
        <v>71</v>
      </c>
      <c r="C51" s="17">
        <v>217.75</v>
      </c>
      <c r="D51" s="17">
        <v>217.75</v>
      </c>
      <c r="E51" s="30" t="s">
        <v>40</v>
      </c>
      <c r="F51" s="30" t="s">
        <v>111</v>
      </c>
      <c r="G51" s="30" t="s">
        <v>42</v>
      </c>
    </row>
    <row r="52" spans="1:7" x14ac:dyDescent="0.2">
      <c r="A52" s="29">
        <v>45882</v>
      </c>
      <c r="B52" s="30" t="s">
        <v>78</v>
      </c>
      <c r="C52" s="17">
        <v>217.75</v>
      </c>
      <c r="D52" s="17">
        <v>217.75</v>
      </c>
      <c r="E52" s="30" t="s">
        <v>40</v>
      </c>
      <c r="F52" s="30" t="s">
        <v>112</v>
      </c>
      <c r="G52" s="30" t="s">
        <v>42</v>
      </c>
    </row>
    <row r="53" spans="1:7" x14ac:dyDescent="0.2">
      <c r="A53" s="29">
        <v>45884</v>
      </c>
      <c r="B53" s="30" t="s">
        <v>113</v>
      </c>
      <c r="C53" s="31" t="s">
        <v>43</v>
      </c>
      <c r="D53" s="17">
        <v>3320.67</v>
      </c>
      <c r="E53" s="30" t="s">
        <v>18</v>
      </c>
      <c r="F53" s="30" t="s">
        <v>114</v>
      </c>
      <c r="G53" s="30" t="s">
        <v>42</v>
      </c>
    </row>
    <row r="54" spans="1:7" x14ac:dyDescent="0.2">
      <c r="A54" s="29">
        <v>45885</v>
      </c>
      <c r="B54" s="30" t="s">
        <v>115</v>
      </c>
      <c r="C54" s="17">
        <v>10</v>
      </c>
      <c r="D54" s="17">
        <v>120</v>
      </c>
      <c r="E54" s="30" t="s">
        <v>40</v>
      </c>
      <c r="F54" s="30" t="s">
        <v>116</v>
      </c>
      <c r="G54" s="30" t="s">
        <v>42</v>
      </c>
    </row>
    <row r="55" spans="1:7" x14ac:dyDescent="0.2">
      <c r="A55" s="29">
        <v>45885</v>
      </c>
      <c r="B55" s="30" t="s">
        <v>91</v>
      </c>
      <c r="C55" s="17">
        <v>21.78</v>
      </c>
      <c r="D55" s="17">
        <v>21.78</v>
      </c>
      <c r="E55" s="30" t="s">
        <v>40</v>
      </c>
      <c r="F55" s="30" t="s">
        <v>117</v>
      </c>
      <c r="G55" s="30" t="s">
        <v>42</v>
      </c>
    </row>
    <row r="56" spans="1:7" x14ac:dyDescent="0.2">
      <c r="A56" s="29">
        <v>45896</v>
      </c>
      <c r="B56" s="30" t="s">
        <v>118</v>
      </c>
      <c r="C56" s="17">
        <v>2.99</v>
      </c>
      <c r="D56" s="17">
        <v>2.99</v>
      </c>
      <c r="E56" s="30" t="s">
        <v>40</v>
      </c>
      <c r="F56" s="30" t="s">
        <v>119</v>
      </c>
      <c r="G56" s="30" t="s">
        <v>42</v>
      </c>
    </row>
    <row r="57" spans="1:7" x14ac:dyDescent="0.2">
      <c r="A57" s="29">
        <v>45898</v>
      </c>
      <c r="B57" s="30" t="s">
        <v>84</v>
      </c>
      <c r="C57" s="17">
        <v>272.18</v>
      </c>
      <c r="D57" s="17">
        <v>272.18</v>
      </c>
      <c r="E57" s="30" t="s">
        <v>40</v>
      </c>
      <c r="F57" s="30" t="s">
        <v>120</v>
      </c>
      <c r="G57" s="30" t="s">
        <v>42</v>
      </c>
    </row>
    <row r="58" spans="1:7" x14ac:dyDescent="0.2">
      <c r="A58" s="29">
        <v>45898</v>
      </c>
      <c r="B58" s="30" t="s">
        <v>86</v>
      </c>
      <c r="C58" s="17">
        <v>32.659999999999997</v>
      </c>
      <c r="D58" s="17">
        <v>32.659999999999997</v>
      </c>
      <c r="E58" s="30" t="s">
        <v>40</v>
      </c>
      <c r="F58" s="30" t="s">
        <v>121</v>
      </c>
      <c r="G58" s="30" t="s">
        <v>42</v>
      </c>
    </row>
    <row r="59" spans="1:7" x14ac:dyDescent="0.2">
      <c r="A59" s="29">
        <v>45901</v>
      </c>
      <c r="B59" s="30" t="s">
        <v>39</v>
      </c>
      <c r="C59" s="17">
        <v>65.31</v>
      </c>
      <c r="D59" s="17">
        <v>65.31</v>
      </c>
      <c r="E59" s="30" t="s">
        <v>40</v>
      </c>
      <c r="F59" s="30" t="s">
        <v>122</v>
      </c>
      <c r="G59" s="30" t="s">
        <v>42</v>
      </c>
    </row>
    <row r="60" spans="1:7" x14ac:dyDescent="0.2">
      <c r="A60" s="29">
        <v>45901</v>
      </c>
      <c r="B60" s="30" t="s">
        <v>49</v>
      </c>
      <c r="C60" s="17">
        <v>2266.96</v>
      </c>
      <c r="D60" s="17">
        <v>2266.96</v>
      </c>
      <c r="E60" s="30" t="s">
        <v>49</v>
      </c>
      <c r="F60" s="30" t="s">
        <v>123</v>
      </c>
      <c r="G60" s="30" t="s">
        <v>42</v>
      </c>
    </row>
    <row r="61" spans="1:7" x14ac:dyDescent="0.2">
      <c r="A61" s="29">
        <v>45909</v>
      </c>
      <c r="B61" s="30" t="s">
        <v>71</v>
      </c>
      <c r="C61" s="17">
        <v>217.75</v>
      </c>
      <c r="D61" s="17">
        <v>217.75</v>
      </c>
      <c r="E61" s="30" t="s">
        <v>40</v>
      </c>
      <c r="F61" s="30" t="s">
        <v>124</v>
      </c>
      <c r="G61" s="30" t="s">
        <v>42</v>
      </c>
    </row>
    <row r="62" spans="1:7" x14ac:dyDescent="0.2">
      <c r="A62" s="29">
        <v>45913</v>
      </c>
      <c r="B62" s="30" t="s">
        <v>78</v>
      </c>
      <c r="C62" s="17">
        <v>217.75</v>
      </c>
      <c r="D62" s="17">
        <v>217.75</v>
      </c>
      <c r="E62" s="30" t="s">
        <v>40</v>
      </c>
      <c r="F62" s="30" t="s">
        <v>125</v>
      </c>
      <c r="G62" s="30" t="s">
        <v>42</v>
      </c>
    </row>
    <row r="63" spans="1:7" x14ac:dyDescent="0.2">
      <c r="A63" s="29">
        <v>45913</v>
      </c>
      <c r="B63" s="30" t="s">
        <v>126</v>
      </c>
      <c r="C63" s="17">
        <v>31.66</v>
      </c>
      <c r="D63" s="17">
        <v>94.99</v>
      </c>
      <c r="E63" s="30" t="s">
        <v>40</v>
      </c>
      <c r="F63" s="30" t="s">
        <v>127</v>
      </c>
      <c r="G63" s="30" t="s">
        <v>42</v>
      </c>
    </row>
    <row r="64" spans="1:7" x14ac:dyDescent="0.2">
      <c r="A64" s="29">
        <v>45916</v>
      </c>
      <c r="B64" s="30" t="s">
        <v>91</v>
      </c>
      <c r="C64" s="17">
        <v>21.78</v>
      </c>
      <c r="D64" s="17">
        <v>21.78</v>
      </c>
      <c r="E64" s="30" t="s">
        <v>40</v>
      </c>
      <c r="F64" s="30" t="s">
        <v>128</v>
      </c>
      <c r="G64" s="30" t="s">
        <v>42</v>
      </c>
    </row>
    <row r="65" spans="1:7" x14ac:dyDescent="0.2">
      <c r="A65" s="29">
        <v>45929</v>
      </c>
      <c r="B65" s="30" t="s">
        <v>84</v>
      </c>
      <c r="C65" s="17">
        <v>272.18</v>
      </c>
      <c r="D65" s="17">
        <v>272.18</v>
      </c>
      <c r="E65" s="30" t="s">
        <v>40</v>
      </c>
      <c r="F65" s="30" t="s">
        <v>129</v>
      </c>
      <c r="G65" s="30" t="s">
        <v>42</v>
      </c>
    </row>
    <row r="66" spans="1:7" x14ac:dyDescent="0.2">
      <c r="A66" s="29">
        <v>45929</v>
      </c>
      <c r="B66" s="30" t="s">
        <v>86</v>
      </c>
      <c r="C66" s="17">
        <v>65.33</v>
      </c>
      <c r="D66" s="17">
        <v>65.33</v>
      </c>
      <c r="E66" s="30" t="s">
        <v>40</v>
      </c>
      <c r="F66" s="30" t="s">
        <v>130</v>
      </c>
      <c r="G66" s="30" t="s">
        <v>42</v>
      </c>
    </row>
    <row r="67" spans="1:7" x14ac:dyDescent="0.2">
      <c r="A67" s="29">
        <v>45931</v>
      </c>
      <c r="B67" s="30" t="s">
        <v>39</v>
      </c>
      <c r="C67" s="17">
        <v>65.31</v>
      </c>
      <c r="D67" s="17">
        <v>65.31</v>
      </c>
      <c r="E67" s="30" t="s">
        <v>40</v>
      </c>
      <c r="F67" s="30" t="s">
        <v>131</v>
      </c>
      <c r="G67" s="30" t="s">
        <v>42</v>
      </c>
    </row>
    <row r="68" spans="1:7" x14ac:dyDescent="0.2">
      <c r="A68" s="29">
        <v>45931</v>
      </c>
      <c r="B68" s="30" t="s">
        <v>49</v>
      </c>
      <c r="C68" s="17">
        <v>2266.96</v>
      </c>
      <c r="D68" s="17">
        <v>2266.96</v>
      </c>
      <c r="E68" s="30" t="s">
        <v>49</v>
      </c>
      <c r="F68" s="30" t="s">
        <v>132</v>
      </c>
      <c r="G68" s="30" t="s">
        <v>42</v>
      </c>
    </row>
    <row r="69" spans="1:7" x14ac:dyDescent="0.2">
      <c r="A69" s="29">
        <v>45934</v>
      </c>
      <c r="B69" s="30" t="s">
        <v>133</v>
      </c>
      <c r="C69" s="17">
        <v>19.989999999999998</v>
      </c>
      <c r="D69" s="17">
        <v>239.88</v>
      </c>
      <c r="E69" s="30" t="s">
        <v>40</v>
      </c>
      <c r="F69" s="30" t="s">
        <v>134</v>
      </c>
      <c r="G69" s="30" t="s">
        <v>42</v>
      </c>
    </row>
    <row r="70" spans="1:7" x14ac:dyDescent="0.2">
      <c r="A70" s="29">
        <v>45934</v>
      </c>
      <c r="B70" s="30" t="s">
        <v>63</v>
      </c>
      <c r="C70" s="31" t="s">
        <v>43</v>
      </c>
      <c r="D70" s="17">
        <v>134.97</v>
      </c>
      <c r="E70" s="30" t="s">
        <v>20</v>
      </c>
      <c r="F70" s="30" t="s">
        <v>135</v>
      </c>
      <c r="G70" s="30" t="s">
        <v>42</v>
      </c>
    </row>
    <row r="71" spans="1:7" x14ac:dyDescent="0.2">
      <c r="A71" s="29">
        <v>45939</v>
      </c>
      <c r="B71" s="30" t="s">
        <v>71</v>
      </c>
      <c r="C71" s="17">
        <v>217.75</v>
      </c>
      <c r="D71" s="17">
        <v>217.75</v>
      </c>
      <c r="E71" s="30" t="s">
        <v>40</v>
      </c>
      <c r="F71" s="30" t="s">
        <v>136</v>
      </c>
      <c r="G71" s="30" t="s">
        <v>42</v>
      </c>
    </row>
    <row r="72" spans="1:7" x14ac:dyDescent="0.2">
      <c r="A72" s="29">
        <v>45943</v>
      </c>
      <c r="B72" s="30" t="s">
        <v>78</v>
      </c>
      <c r="C72" s="17">
        <v>217.75</v>
      </c>
      <c r="D72" s="17">
        <v>217.75</v>
      </c>
      <c r="E72" s="30" t="s">
        <v>40</v>
      </c>
      <c r="F72" s="30" t="s">
        <v>137</v>
      </c>
      <c r="G72" s="30" t="s">
        <v>42</v>
      </c>
    </row>
    <row r="73" spans="1:7" x14ac:dyDescent="0.2">
      <c r="A73" s="29">
        <v>45946</v>
      </c>
      <c r="B73" s="30" t="s">
        <v>138</v>
      </c>
      <c r="C73" s="17">
        <v>20</v>
      </c>
      <c r="D73" s="17">
        <v>20</v>
      </c>
      <c r="E73" s="30" t="s">
        <v>82</v>
      </c>
      <c r="F73" s="30" t="s">
        <v>139</v>
      </c>
      <c r="G73" s="30" t="s">
        <v>42</v>
      </c>
    </row>
    <row r="74" spans="1:7" x14ac:dyDescent="0.2">
      <c r="A74" s="29">
        <v>45946</v>
      </c>
      <c r="B74" s="30" t="s">
        <v>91</v>
      </c>
      <c r="C74" s="17">
        <v>21.78</v>
      </c>
      <c r="D74" s="17">
        <v>21.78</v>
      </c>
      <c r="E74" s="30" t="s">
        <v>40</v>
      </c>
      <c r="F74" s="30" t="s">
        <v>140</v>
      </c>
      <c r="G74" s="30" t="s">
        <v>42</v>
      </c>
    </row>
    <row r="75" spans="1:7" x14ac:dyDescent="0.2">
      <c r="A75" s="29">
        <v>45948</v>
      </c>
      <c r="B75" s="30" t="s">
        <v>141</v>
      </c>
      <c r="C75" s="17">
        <v>20</v>
      </c>
      <c r="D75" s="17">
        <v>20</v>
      </c>
      <c r="E75" s="30" t="s">
        <v>40</v>
      </c>
      <c r="F75" s="30" t="s">
        <v>142</v>
      </c>
      <c r="G75" s="30" t="s">
        <v>42</v>
      </c>
    </row>
    <row r="76" spans="1:7" x14ac:dyDescent="0.2">
      <c r="A76" s="29">
        <v>45959</v>
      </c>
      <c r="B76" s="30" t="s">
        <v>84</v>
      </c>
      <c r="C76" s="17">
        <v>272.18</v>
      </c>
      <c r="D76" s="17">
        <v>272.18</v>
      </c>
      <c r="E76" s="30" t="s">
        <v>40</v>
      </c>
      <c r="F76" s="30" t="s">
        <v>143</v>
      </c>
      <c r="G76" s="30" t="s">
        <v>42</v>
      </c>
    </row>
    <row r="77" spans="1:7" x14ac:dyDescent="0.2">
      <c r="A77" s="29">
        <v>45959</v>
      </c>
      <c r="B77" s="30" t="s">
        <v>86</v>
      </c>
      <c r="C77" s="17">
        <v>65.33</v>
      </c>
      <c r="D77" s="17">
        <v>65.33</v>
      </c>
      <c r="E77" s="30" t="s">
        <v>40</v>
      </c>
      <c r="F77" s="30" t="s">
        <v>144</v>
      </c>
      <c r="G77" s="30" t="s">
        <v>42</v>
      </c>
    </row>
    <row r="78" spans="1:7" x14ac:dyDescent="0.2">
      <c r="A78" s="29">
        <v>45959</v>
      </c>
      <c r="B78" s="30" t="s">
        <v>145</v>
      </c>
      <c r="C78" s="17">
        <v>35</v>
      </c>
      <c r="D78" s="17">
        <v>35</v>
      </c>
      <c r="E78" s="30" t="s">
        <v>40</v>
      </c>
      <c r="F78" s="30" t="s">
        <v>146</v>
      </c>
      <c r="G78" s="30" t="s">
        <v>42</v>
      </c>
    </row>
    <row r="79" spans="1:7" x14ac:dyDescent="0.2">
      <c r="A79" s="29">
        <v>45962</v>
      </c>
      <c r="B79" s="30" t="s">
        <v>39</v>
      </c>
      <c r="C79" s="17">
        <v>65.31</v>
      </c>
      <c r="D79" s="17">
        <v>65.31</v>
      </c>
      <c r="E79" s="30" t="s">
        <v>40</v>
      </c>
      <c r="F79" s="30" t="s">
        <v>147</v>
      </c>
      <c r="G79" s="30" t="s">
        <v>42</v>
      </c>
    </row>
    <row r="80" spans="1:7" x14ac:dyDescent="0.2">
      <c r="A80" s="29">
        <v>45962</v>
      </c>
      <c r="B80" s="30" t="s">
        <v>49</v>
      </c>
      <c r="C80" s="17">
        <v>2266.96</v>
      </c>
      <c r="D80" s="17">
        <v>2266.96</v>
      </c>
      <c r="E80" s="30" t="s">
        <v>49</v>
      </c>
      <c r="F80" s="30" t="s">
        <v>148</v>
      </c>
      <c r="G80" s="30" t="s">
        <v>42</v>
      </c>
    </row>
    <row r="81" spans="1:7" x14ac:dyDescent="0.2">
      <c r="A81" s="29">
        <v>45962</v>
      </c>
      <c r="B81" s="30" t="s">
        <v>149</v>
      </c>
      <c r="C81" s="17">
        <v>10</v>
      </c>
      <c r="D81" s="17">
        <v>10</v>
      </c>
      <c r="E81" s="30" t="s">
        <v>40</v>
      </c>
      <c r="F81" s="30" t="s">
        <v>150</v>
      </c>
      <c r="G81" s="30" t="s">
        <v>42</v>
      </c>
    </row>
    <row r="82" spans="1:7" x14ac:dyDescent="0.2">
      <c r="A82" s="29">
        <v>45964</v>
      </c>
      <c r="B82" s="30" t="s">
        <v>151</v>
      </c>
      <c r="C82" s="31" t="s">
        <v>43</v>
      </c>
      <c r="D82" s="17">
        <v>10.41</v>
      </c>
      <c r="E82" s="30" t="s">
        <v>82</v>
      </c>
      <c r="F82" s="30" t="s">
        <v>152</v>
      </c>
      <c r="G82" s="30" t="s">
        <v>42</v>
      </c>
    </row>
    <row r="83" spans="1:7" x14ac:dyDescent="0.2">
      <c r="A83" s="29">
        <v>45967</v>
      </c>
      <c r="B83" s="30" t="s">
        <v>86</v>
      </c>
      <c r="C83" s="17">
        <v>65.33</v>
      </c>
      <c r="D83" s="17">
        <v>65.33</v>
      </c>
      <c r="E83" s="30" t="s">
        <v>40</v>
      </c>
      <c r="F83" s="30" t="s">
        <v>153</v>
      </c>
      <c r="G83" s="30" t="s">
        <v>42</v>
      </c>
    </row>
    <row r="84" spans="1:7" x14ac:dyDescent="0.2">
      <c r="A84" s="29">
        <v>45969</v>
      </c>
      <c r="B84" s="30" t="s">
        <v>154</v>
      </c>
      <c r="C84" s="31" t="s">
        <v>43</v>
      </c>
      <c r="D84" s="17">
        <v>2892.66</v>
      </c>
      <c r="E84" s="30" t="s">
        <v>18</v>
      </c>
      <c r="F84" s="30" t="s">
        <v>155</v>
      </c>
      <c r="G84" s="30" t="s">
        <v>42</v>
      </c>
    </row>
    <row r="85" spans="1:7" x14ac:dyDescent="0.2">
      <c r="A85" s="29">
        <v>45970</v>
      </c>
      <c r="B85" s="30" t="s">
        <v>71</v>
      </c>
      <c r="C85" s="17">
        <v>217.75</v>
      </c>
      <c r="D85" s="17">
        <v>217.75</v>
      </c>
      <c r="E85" s="30" t="s">
        <v>40</v>
      </c>
      <c r="F85" s="30" t="s">
        <v>156</v>
      </c>
      <c r="G85" s="30" t="s">
        <v>42</v>
      </c>
    </row>
    <row r="86" spans="1:7" x14ac:dyDescent="0.2">
      <c r="A86" s="29">
        <v>45970</v>
      </c>
      <c r="B86" s="30" t="s">
        <v>157</v>
      </c>
      <c r="C86" s="31" t="s">
        <v>43</v>
      </c>
      <c r="D86" s="17">
        <v>432</v>
      </c>
      <c r="E86" s="30" t="s">
        <v>40</v>
      </c>
      <c r="F86" s="30" t="s">
        <v>158</v>
      </c>
      <c r="G86" s="30" t="s">
        <v>42</v>
      </c>
    </row>
    <row r="87" spans="1:7" x14ac:dyDescent="0.2">
      <c r="A87" s="32">
        <v>45973</v>
      </c>
      <c r="B87" s="20" t="s">
        <v>159</v>
      </c>
      <c r="C87" s="18">
        <v>8.25</v>
      </c>
      <c r="D87" s="18">
        <v>99</v>
      </c>
      <c r="E87" s="20" t="s">
        <v>82</v>
      </c>
      <c r="F87" s="20" t="s">
        <v>160</v>
      </c>
      <c r="G87" s="20" t="s">
        <v>161</v>
      </c>
    </row>
    <row r="88" spans="1:7" x14ac:dyDescent="0.2">
      <c r="A88" s="32">
        <v>45974</v>
      </c>
      <c r="B88" s="20" t="s">
        <v>78</v>
      </c>
      <c r="C88" s="18">
        <v>217.75</v>
      </c>
      <c r="D88" s="18">
        <v>217.75</v>
      </c>
      <c r="E88" s="20" t="s">
        <v>40</v>
      </c>
      <c r="F88" s="20" t="s">
        <v>162</v>
      </c>
      <c r="G88" s="20" t="s">
        <v>161</v>
      </c>
    </row>
    <row r="89" spans="1:7" x14ac:dyDescent="0.2">
      <c r="A89" s="32">
        <v>45977</v>
      </c>
      <c r="B89" s="20" t="s">
        <v>138</v>
      </c>
      <c r="C89" s="18">
        <v>20</v>
      </c>
      <c r="D89" s="18">
        <v>20</v>
      </c>
      <c r="E89" s="20" t="s">
        <v>82</v>
      </c>
      <c r="F89" s="20" t="s">
        <v>163</v>
      </c>
      <c r="G89" s="20" t="s">
        <v>161</v>
      </c>
    </row>
    <row r="90" spans="1:7" x14ac:dyDescent="0.2">
      <c r="A90" s="32">
        <v>45977</v>
      </c>
      <c r="B90" s="20" t="s">
        <v>91</v>
      </c>
      <c r="C90" s="18">
        <v>21.78</v>
      </c>
      <c r="D90" s="18">
        <v>21.78</v>
      </c>
      <c r="E90" s="20" t="s">
        <v>40</v>
      </c>
      <c r="F90" s="20" t="s">
        <v>164</v>
      </c>
      <c r="G90" s="20" t="s">
        <v>161</v>
      </c>
    </row>
    <row r="91" spans="1:7" x14ac:dyDescent="0.2">
      <c r="A91" s="32">
        <v>45979</v>
      </c>
      <c r="B91" s="20" t="s">
        <v>141</v>
      </c>
      <c r="C91" s="18">
        <v>20</v>
      </c>
      <c r="D91" s="18">
        <v>20</v>
      </c>
      <c r="E91" s="20" t="s">
        <v>40</v>
      </c>
      <c r="F91" s="20" t="s">
        <v>165</v>
      </c>
      <c r="G91" s="20" t="s">
        <v>161</v>
      </c>
    </row>
    <row r="92" spans="1:7" x14ac:dyDescent="0.2">
      <c r="A92" s="32">
        <v>45984</v>
      </c>
      <c r="B92" s="20" t="s">
        <v>166</v>
      </c>
      <c r="C92" s="33" t="s">
        <v>43</v>
      </c>
      <c r="D92" s="18">
        <v>40</v>
      </c>
      <c r="E92" s="20" t="s">
        <v>40</v>
      </c>
      <c r="F92" s="20" t="s">
        <v>167</v>
      </c>
      <c r="G92" s="20" t="s">
        <v>161</v>
      </c>
    </row>
    <row r="93" spans="1:7" x14ac:dyDescent="0.2">
      <c r="A93" s="32">
        <v>45989</v>
      </c>
      <c r="B93" s="20" t="s">
        <v>168</v>
      </c>
      <c r="C93" s="33" t="s">
        <v>43</v>
      </c>
      <c r="D93" s="18">
        <v>471.42</v>
      </c>
      <c r="E93" s="20" t="s">
        <v>18</v>
      </c>
      <c r="F93" s="20" t="s">
        <v>169</v>
      </c>
      <c r="G93" s="20" t="s">
        <v>161</v>
      </c>
    </row>
    <row r="94" spans="1:7" x14ac:dyDescent="0.2">
      <c r="A94" s="32">
        <v>45990</v>
      </c>
      <c r="B94" s="20" t="s">
        <v>84</v>
      </c>
      <c r="C94" s="18">
        <v>272.18</v>
      </c>
      <c r="D94" s="18">
        <v>272.18</v>
      </c>
      <c r="E94" s="20" t="s">
        <v>40</v>
      </c>
      <c r="F94" s="20" t="s">
        <v>170</v>
      </c>
      <c r="G94" s="20" t="s">
        <v>161</v>
      </c>
    </row>
    <row r="95" spans="1:7" x14ac:dyDescent="0.2">
      <c r="A95" s="32">
        <v>45990</v>
      </c>
      <c r="B95" s="20" t="s">
        <v>145</v>
      </c>
      <c r="C95" s="18">
        <v>35</v>
      </c>
      <c r="D95" s="18">
        <v>35</v>
      </c>
      <c r="E95" s="20" t="s">
        <v>40</v>
      </c>
      <c r="F95" s="20" t="s">
        <v>171</v>
      </c>
      <c r="G95" s="20" t="s">
        <v>161</v>
      </c>
    </row>
    <row r="96" spans="1:7" x14ac:dyDescent="0.2">
      <c r="A96" s="32">
        <v>45992</v>
      </c>
      <c r="B96" s="20" t="s">
        <v>39</v>
      </c>
      <c r="C96" s="18">
        <v>65.31</v>
      </c>
      <c r="D96" s="18">
        <v>65.31</v>
      </c>
      <c r="E96" s="20" t="s">
        <v>40</v>
      </c>
      <c r="F96" s="20" t="s">
        <v>172</v>
      </c>
      <c r="G96" s="20" t="s">
        <v>161</v>
      </c>
    </row>
    <row r="97" spans="1:7" x14ac:dyDescent="0.2">
      <c r="A97" s="32">
        <v>45992</v>
      </c>
      <c r="B97" s="20" t="s">
        <v>49</v>
      </c>
      <c r="C97" s="18">
        <v>2266.96</v>
      </c>
      <c r="D97" s="18">
        <v>2266.96</v>
      </c>
      <c r="E97" s="20" t="s">
        <v>49</v>
      </c>
      <c r="F97" s="20" t="s">
        <v>173</v>
      </c>
      <c r="G97" s="20" t="s">
        <v>161</v>
      </c>
    </row>
    <row r="98" spans="1:7" x14ac:dyDescent="0.2">
      <c r="A98" s="32">
        <v>45992</v>
      </c>
      <c r="B98" s="20" t="s">
        <v>149</v>
      </c>
      <c r="C98" s="18">
        <v>10</v>
      </c>
      <c r="D98" s="18">
        <v>10</v>
      </c>
      <c r="E98" s="20" t="s">
        <v>40</v>
      </c>
      <c r="F98" s="20" t="s">
        <v>174</v>
      </c>
      <c r="G98" s="20" t="s">
        <v>161</v>
      </c>
    </row>
    <row r="99" spans="1:7" x14ac:dyDescent="0.2">
      <c r="A99" s="32">
        <v>45997</v>
      </c>
      <c r="B99" s="20" t="s">
        <v>86</v>
      </c>
      <c r="C99" s="18">
        <v>65.33</v>
      </c>
      <c r="D99" s="18">
        <v>65.33</v>
      </c>
      <c r="E99" s="20" t="s">
        <v>40</v>
      </c>
      <c r="F99" s="20" t="s">
        <v>175</v>
      </c>
      <c r="G99" s="20" t="s">
        <v>161</v>
      </c>
    </row>
    <row r="100" spans="1:7" x14ac:dyDescent="0.2">
      <c r="A100" s="32">
        <v>45997</v>
      </c>
      <c r="B100" s="20" t="s">
        <v>63</v>
      </c>
      <c r="C100" s="33" t="s">
        <v>43</v>
      </c>
      <c r="D100" s="18">
        <v>134.97</v>
      </c>
      <c r="E100" s="20" t="s">
        <v>20</v>
      </c>
      <c r="F100" s="20" t="s">
        <v>176</v>
      </c>
      <c r="G100" s="20" t="s">
        <v>161</v>
      </c>
    </row>
    <row r="101" spans="1:7" x14ac:dyDescent="0.2">
      <c r="A101" s="32">
        <v>46000</v>
      </c>
      <c r="B101" s="20" t="s">
        <v>71</v>
      </c>
      <c r="C101" s="18">
        <v>217.75</v>
      </c>
      <c r="D101" s="18">
        <v>217.75</v>
      </c>
      <c r="E101" s="20" t="s">
        <v>40</v>
      </c>
      <c r="F101" s="20" t="s">
        <v>177</v>
      </c>
      <c r="G101" s="20" t="s">
        <v>161</v>
      </c>
    </row>
    <row r="102" spans="1:7" x14ac:dyDescent="0.2">
      <c r="A102" s="32">
        <v>46003</v>
      </c>
      <c r="B102" s="20" t="s">
        <v>126</v>
      </c>
      <c r="C102" s="18">
        <v>31.66</v>
      </c>
      <c r="D102" s="18">
        <v>94.99</v>
      </c>
      <c r="E102" s="20" t="s">
        <v>40</v>
      </c>
      <c r="F102" s="20" t="s">
        <v>178</v>
      </c>
      <c r="G102" s="20" t="s">
        <v>161</v>
      </c>
    </row>
    <row r="103" spans="1:7" x14ac:dyDescent="0.2">
      <c r="A103" s="32">
        <v>46004</v>
      </c>
      <c r="B103" s="20" t="s">
        <v>78</v>
      </c>
      <c r="C103" s="18">
        <v>217.75</v>
      </c>
      <c r="D103" s="18">
        <v>217.75</v>
      </c>
      <c r="E103" s="20" t="s">
        <v>40</v>
      </c>
      <c r="F103" s="20" t="s">
        <v>179</v>
      </c>
      <c r="G103" s="20" t="s">
        <v>161</v>
      </c>
    </row>
    <row r="104" spans="1:7" x14ac:dyDescent="0.2">
      <c r="A104" s="32">
        <v>46007</v>
      </c>
      <c r="B104" s="20" t="s">
        <v>138</v>
      </c>
      <c r="C104" s="18">
        <v>20</v>
      </c>
      <c r="D104" s="18">
        <v>20</v>
      </c>
      <c r="E104" s="20" t="s">
        <v>82</v>
      </c>
      <c r="F104" s="20" t="s">
        <v>180</v>
      </c>
      <c r="G104" s="20" t="s">
        <v>161</v>
      </c>
    </row>
    <row r="105" spans="1:7" x14ac:dyDescent="0.2">
      <c r="A105" s="32">
        <v>46007</v>
      </c>
      <c r="B105" s="20" t="s">
        <v>91</v>
      </c>
      <c r="C105" s="18">
        <v>21.78</v>
      </c>
      <c r="D105" s="18">
        <v>21.78</v>
      </c>
      <c r="E105" s="20" t="s">
        <v>40</v>
      </c>
      <c r="F105" s="20" t="s">
        <v>181</v>
      </c>
      <c r="G105" s="20" t="s">
        <v>161</v>
      </c>
    </row>
    <row r="106" spans="1:7" x14ac:dyDescent="0.2">
      <c r="A106" s="32">
        <v>46009</v>
      </c>
      <c r="B106" s="20" t="s">
        <v>141</v>
      </c>
      <c r="C106" s="18">
        <v>20</v>
      </c>
      <c r="D106" s="18">
        <v>20</v>
      </c>
      <c r="E106" s="20" t="s">
        <v>40</v>
      </c>
      <c r="F106" s="20" t="s">
        <v>182</v>
      </c>
      <c r="G106" s="20" t="s">
        <v>161</v>
      </c>
    </row>
    <row r="107" spans="1:7" x14ac:dyDescent="0.2">
      <c r="A107" s="32">
        <v>46010</v>
      </c>
      <c r="B107" s="20" t="s">
        <v>183</v>
      </c>
      <c r="C107" s="18">
        <v>38.11</v>
      </c>
      <c r="D107" s="18">
        <v>38.11</v>
      </c>
      <c r="E107" s="20" t="s">
        <v>40</v>
      </c>
      <c r="F107" s="20" t="s">
        <v>184</v>
      </c>
      <c r="G107" s="20" t="s">
        <v>161</v>
      </c>
    </row>
    <row r="108" spans="1:7" x14ac:dyDescent="0.2">
      <c r="A108" s="32">
        <v>46012</v>
      </c>
      <c r="B108" s="20" t="s">
        <v>185</v>
      </c>
      <c r="C108" s="18">
        <v>36.200000000000003</v>
      </c>
      <c r="D108" s="18">
        <v>434.41</v>
      </c>
      <c r="E108" s="20" t="s">
        <v>40</v>
      </c>
      <c r="F108" s="20" t="s">
        <v>186</v>
      </c>
      <c r="G108" s="20" t="s">
        <v>161</v>
      </c>
    </row>
    <row r="109" spans="1:7" x14ac:dyDescent="0.2">
      <c r="A109" s="32">
        <v>46013</v>
      </c>
      <c r="B109" s="20" t="s">
        <v>187</v>
      </c>
      <c r="C109" s="33" t="s">
        <v>43</v>
      </c>
      <c r="D109" s="18">
        <v>100</v>
      </c>
      <c r="E109" s="20" t="s">
        <v>40</v>
      </c>
      <c r="F109" s="20" t="s">
        <v>188</v>
      </c>
      <c r="G109" s="20" t="s">
        <v>161</v>
      </c>
    </row>
    <row r="110" spans="1:7" x14ac:dyDescent="0.2">
      <c r="A110" s="32">
        <v>46013</v>
      </c>
      <c r="B110" s="20" t="s">
        <v>189</v>
      </c>
      <c r="C110" s="33" t="s">
        <v>43</v>
      </c>
      <c r="D110" s="18">
        <v>50</v>
      </c>
      <c r="E110" s="20" t="s">
        <v>40</v>
      </c>
      <c r="F110" s="20" t="s">
        <v>190</v>
      </c>
      <c r="G110" s="20" t="s">
        <v>161</v>
      </c>
    </row>
    <row r="111" spans="1:7" x14ac:dyDescent="0.2">
      <c r="A111" s="32">
        <v>46017</v>
      </c>
      <c r="B111" s="20" t="s">
        <v>191</v>
      </c>
      <c r="C111" s="18">
        <v>13.05</v>
      </c>
      <c r="D111" s="18">
        <v>13.05</v>
      </c>
      <c r="E111" s="20" t="s">
        <v>40</v>
      </c>
      <c r="F111" s="20" t="s">
        <v>192</v>
      </c>
      <c r="G111" s="20" t="s">
        <v>161</v>
      </c>
    </row>
    <row r="112" spans="1:7" x14ac:dyDescent="0.2">
      <c r="A112" s="32">
        <v>46020</v>
      </c>
      <c r="B112" s="20" t="s">
        <v>84</v>
      </c>
      <c r="C112" s="18">
        <v>272.18</v>
      </c>
      <c r="D112" s="18">
        <v>272.18</v>
      </c>
      <c r="E112" s="20" t="s">
        <v>40</v>
      </c>
      <c r="F112" s="20" t="s">
        <v>193</v>
      </c>
      <c r="G112" s="20" t="s">
        <v>161</v>
      </c>
    </row>
    <row r="113" spans="1:7" x14ac:dyDescent="0.2">
      <c r="A113" s="32">
        <v>46020</v>
      </c>
      <c r="B113" s="20" t="s">
        <v>145</v>
      </c>
      <c r="C113" s="18">
        <v>35</v>
      </c>
      <c r="D113" s="18">
        <v>35</v>
      </c>
      <c r="E113" s="20" t="s">
        <v>40</v>
      </c>
      <c r="F113" s="20" t="s">
        <v>194</v>
      </c>
      <c r="G113" s="20" t="s">
        <v>161</v>
      </c>
    </row>
    <row r="114" spans="1:7" x14ac:dyDescent="0.2">
      <c r="A114" s="32">
        <v>46021</v>
      </c>
      <c r="B114" s="20" t="s">
        <v>195</v>
      </c>
      <c r="C114" s="18">
        <v>30</v>
      </c>
      <c r="D114" s="18">
        <v>30</v>
      </c>
      <c r="E114" s="20" t="s">
        <v>40</v>
      </c>
      <c r="F114" s="20" t="s">
        <v>196</v>
      </c>
      <c r="G114" s="20" t="s">
        <v>161</v>
      </c>
    </row>
    <row r="115" spans="1:7" x14ac:dyDescent="0.2">
      <c r="C115" s="34" t="s">
        <v>197</v>
      </c>
    </row>
    <row r="116" spans="1:7" x14ac:dyDescent="0.2">
      <c r="C116" s="35" t="s">
        <v>198</v>
      </c>
      <c r="D116" s="36">
        <f>SUMPRODUCT((G2:G114="Freelance")*(D2:D114))</f>
        <v>46344.399999999994</v>
      </c>
    </row>
    <row r="117" spans="1:7" x14ac:dyDescent="0.2">
      <c r="C117" s="37" t="s">
        <v>199</v>
      </c>
      <c r="D117" s="38">
        <f>SUMPRODUCT((G2:G114="W-2 (The Block)")*(D2:D114))</f>
        <v>5304.7199999999993</v>
      </c>
    </row>
    <row r="118" spans="1:7" x14ac:dyDescent="0.2">
      <c r="C118" s="39" t="s">
        <v>200</v>
      </c>
      <c r="D118" s="40">
        <f>SUM(D2:D114)</f>
        <v>51649.119999999995</v>
      </c>
    </row>
    <row r="120" spans="1:7" x14ac:dyDescent="0.2">
      <c r="A120" s="27" t="s">
        <v>201</v>
      </c>
    </row>
    <row r="121" spans="1:7" x14ac:dyDescent="0.2">
      <c r="A121" s="41" t="s">
        <v>202</v>
      </c>
      <c r="B121" s="7" t="s">
        <v>203</v>
      </c>
    </row>
    <row r="122" spans="1:7" x14ac:dyDescent="0.2">
      <c r="A122" s="42" t="s">
        <v>202</v>
      </c>
      <c r="B122" s="7" t="s">
        <v>204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 Summary</vt:lpstr>
      <vt:lpstr>2025 Full 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Sean Winslow</cp:lastModifiedBy>
  <cp:revision>0</cp:revision>
  <dcterms:created xsi:type="dcterms:W3CDTF">2026-02-08T00:05:47Z</dcterms:created>
  <dcterms:modified xsi:type="dcterms:W3CDTF">2026-02-08T00:36:10Z</dcterms:modified>
  <dc:language>en-US</dc:language>
</cp:coreProperties>
</file>